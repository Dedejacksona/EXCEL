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Dede Jackson\OneDrive\Documents\YT DA XL\"/>
    </mc:Choice>
  </mc:AlternateContent>
  <xr:revisionPtr revIDLastSave="0" documentId="13_ncr:10000001_{1492154D-D440-4DAD-ABE6-0A622CDED897}" xr6:coauthVersionLast="47" xr6:coauthVersionMax="47" xr10:uidLastSave="{00000000-0000-0000-0000-000000000000}"/>
  <bookViews>
    <workbookView xWindow="-108" yWindow="-108" windowWidth="23256" windowHeight="13176" activeTab="4" xr2:uid="{8EDDDBDF-8EAF-4BF1-B96F-3086EBF77B82}"/>
  </bookViews>
  <sheets>
    <sheet name="Complete Table" sheetId="4" r:id="rId1"/>
    <sheet name="Table" sheetId="3" r:id="rId2"/>
    <sheet name="Ideas" sheetId="2" r:id="rId3"/>
    <sheet name="PT.PC" sheetId="5" r:id="rId4"/>
    <sheet name="Dashboard" sheetId="7" r:id="rId5"/>
  </sheets>
  <definedNames>
    <definedName name="_xlcn.WorksheetConnection_SupplyChainDataset.xlsxTable1_11" hidden="1">Table1_1[]</definedName>
    <definedName name="ExternalData_1" localSheetId="0" hidden="1">'Complete Table'!$A$1:$X$101</definedName>
    <definedName name="ExternalData_1" localSheetId="1" hidden="1">Table!$A$1:$Y$101</definedName>
    <definedName name="Slicer_Customer_Demographics">#N/A</definedName>
    <definedName name="Slicer_Location">#N/A</definedName>
  </definedNames>
  <calcPr calcId="191029"/>
  <pivotCaches>
    <pivotCache cacheId="652" r:id="rId6"/>
    <pivotCache cacheId="655" r:id="rId7"/>
    <pivotCache cacheId="658" r:id="rId8"/>
    <pivotCache cacheId="661" r:id="rId9"/>
    <pivotCache cacheId="664" r:id="rId10"/>
  </pivotCaches>
  <fileRecoveryPr repairLoad="1"/>
  <extLst>
    <ext xmlns:x14="http://schemas.microsoft.com/office/spreadsheetml/2009/9/main" uri="{876F7934-8845-4945-9796-88D515C7AA90}">
      <x14:pivotCaches>
        <pivotCache cacheId="12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Supply Chain Dataset.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02" i="3" l="1"/>
  <c r="Z102" i="3"/>
  <c r="S102" i="3"/>
  <c r="J102" i="3"/>
  <c r="I102" i="3"/>
  <c r="G102" i="3"/>
  <c r="F102" i="3"/>
  <c r="AA101" i="3"/>
  <c r="Z101" i="3"/>
  <c r="C101" i="3"/>
  <c r="AA100" i="3"/>
  <c r="Z100" i="3"/>
  <c r="C100" i="3"/>
  <c r="AA99" i="3"/>
  <c r="Z99" i="3"/>
  <c r="C99" i="3"/>
  <c r="AA98" i="3"/>
  <c r="Z98" i="3"/>
  <c r="C98" i="3"/>
  <c r="AA97" i="3"/>
  <c r="Z97" i="3"/>
  <c r="C97" i="3"/>
  <c r="AA96" i="3"/>
  <c r="Z96" i="3"/>
  <c r="C96" i="3"/>
  <c r="AA95" i="3"/>
  <c r="Z95" i="3"/>
  <c r="C95" i="3"/>
  <c r="AA94" i="3"/>
  <c r="Z94" i="3"/>
  <c r="C94" i="3"/>
  <c r="AA93" i="3"/>
  <c r="Z93" i="3"/>
  <c r="C93" i="3"/>
  <c r="AA92" i="3"/>
  <c r="Z92" i="3"/>
  <c r="C92" i="3"/>
  <c r="AA91" i="3"/>
  <c r="Z91" i="3"/>
  <c r="C91" i="3"/>
  <c r="AA90" i="3"/>
  <c r="Z90" i="3"/>
  <c r="C90" i="3"/>
  <c r="AA89" i="3"/>
  <c r="Z89" i="3"/>
  <c r="C89" i="3"/>
  <c r="AA88" i="3"/>
  <c r="Z88" i="3"/>
  <c r="C88" i="3"/>
  <c r="AA87" i="3"/>
  <c r="Z87" i="3"/>
  <c r="C87" i="3"/>
  <c r="AA86" i="3"/>
  <c r="Z86" i="3"/>
  <c r="C86" i="3"/>
  <c r="AA85" i="3"/>
  <c r="Z85" i="3"/>
  <c r="C85" i="3"/>
  <c r="AA84" i="3"/>
  <c r="Z84" i="3"/>
  <c r="C84" i="3"/>
  <c r="AA83" i="3"/>
  <c r="Z83" i="3"/>
  <c r="C83" i="3"/>
  <c r="AA82" i="3"/>
  <c r="Z82" i="3"/>
  <c r="C82" i="3"/>
  <c r="AA81" i="3"/>
  <c r="Z81" i="3"/>
  <c r="C81" i="3"/>
  <c r="AA80" i="3"/>
  <c r="Z80" i="3"/>
  <c r="C80" i="3"/>
  <c r="AA79" i="3"/>
  <c r="Z79" i="3"/>
  <c r="C79" i="3"/>
  <c r="AA78" i="3"/>
  <c r="Z78" i="3"/>
  <c r="C78" i="3"/>
  <c r="AA77" i="3"/>
  <c r="Z77" i="3"/>
  <c r="C77" i="3"/>
  <c r="AA76" i="3"/>
  <c r="Z76" i="3"/>
  <c r="C76" i="3"/>
  <c r="AA75" i="3"/>
  <c r="Z75" i="3"/>
  <c r="C75" i="3"/>
  <c r="AA74" i="3"/>
  <c r="Z74" i="3"/>
  <c r="C74" i="3"/>
  <c r="AA73" i="3"/>
  <c r="Z73" i="3"/>
  <c r="C73" i="3"/>
  <c r="AA72" i="3"/>
  <c r="Z72" i="3"/>
  <c r="C72" i="3"/>
  <c r="AA71" i="3"/>
  <c r="Z71" i="3"/>
  <c r="C71" i="3"/>
  <c r="AA70" i="3"/>
  <c r="Z70" i="3"/>
  <c r="C70" i="3"/>
  <c r="AA69" i="3"/>
  <c r="Z69" i="3"/>
  <c r="C69" i="3"/>
  <c r="AA68" i="3"/>
  <c r="Z68" i="3"/>
  <c r="C68" i="3"/>
  <c r="AA67" i="3"/>
  <c r="Z67" i="3"/>
  <c r="C67" i="3"/>
  <c r="AA66" i="3"/>
  <c r="Z66" i="3"/>
  <c r="C66" i="3"/>
  <c r="AA65" i="3"/>
  <c r="Z65" i="3"/>
  <c r="C65" i="3"/>
  <c r="AA64" i="3"/>
  <c r="Z64" i="3"/>
  <c r="C64" i="3"/>
  <c r="AA63" i="3"/>
  <c r="Z63" i="3"/>
  <c r="C63" i="3"/>
  <c r="AA62" i="3"/>
  <c r="Z62" i="3"/>
  <c r="C62" i="3"/>
  <c r="AA61" i="3"/>
  <c r="Z61" i="3"/>
  <c r="C61" i="3"/>
  <c r="AA60" i="3"/>
  <c r="Z60" i="3"/>
  <c r="C60" i="3"/>
  <c r="AA59" i="3"/>
  <c r="Z59" i="3"/>
  <c r="C59" i="3"/>
  <c r="AA58" i="3"/>
  <c r="Z58" i="3"/>
  <c r="C58" i="3"/>
  <c r="AA57" i="3"/>
  <c r="Z57" i="3"/>
  <c r="C57" i="3"/>
  <c r="AA56" i="3"/>
  <c r="Z56" i="3"/>
  <c r="C56" i="3"/>
  <c r="AA55" i="3"/>
  <c r="Z55" i="3"/>
  <c r="C55" i="3"/>
  <c r="AA54" i="3"/>
  <c r="Z54" i="3"/>
  <c r="C54" i="3"/>
  <c r="AA53" i="3"/>
  <c r="Z53" i="3"/>
  <c r="C53" i="3"/>
  <c r="AA52" i="3"/>
  <c r="Z52" i="3"/>
  <c r="C52" i="3"/>
  <c r="AA51" i="3"/>
  <c r="Z51" i="3"/>
  <c r="C51" i="3"/>
  <c r="AA50" i="3"/>
  <c r="Z50" i="3"/>
  <c r="C50" i="3"/>
  <c r="AA49" i="3"/>
  <c r="Z49" i="3"/>
  <c r="C49" i="3"/>
  <c r="AA48" i="3"/>
  <c r="Z48" i="3"/>
  <c r="C48" i="3"/>
  <c r="AA47" i="3"/>
  <c r="Z47" i="3"/>
  <c r="C47" i="3"/>
  <c r="AA46" i="3"/>
  <c r="Z46" i="3"/>
  <c r="C46" i="3"/>
  <c r="AA45" i="3"/>
  <c r="Z45" i="3"/>
  <c r="C45" i="3"/>
  <c r="AA44" i="3"/>
  <c r="Z44" i="3"/>
  <c r="C44" i="3"/>
  <c r="AA43" i="3"/>
  <c r="Z43" i="3"/>
  <c r="C43" i="3"/>
  <c r="AA42" i="3"/>
  <c r="Z42" i="3"/>
  <c r="C42" i="3"/>
  <c r="AA41" i="3"/>
  <c r="Z41" i="3"/>
  <c r="C41" i="3"/>
  <c r="AA40" i="3"/>
  <c r="Z40" i="3"/>
  <c r="C40" i="3"/>
  <c r="AA39" i="3"/>
  <c r="Z39" i="3"/>
  <c r="C39" i="3"/>
  <c r="AA38" i="3"/>
  <c r="Z38" i="3"/>
  <c r="C38" i="3"/>
  <c r="AA37" i="3"/>
  <c r="Z37" i="3"/>
  <c r="C37" i="3"/>
  <c r="AA36" i="3"/>
  <c r="Z36" i="3"/>
  <c r="C36" i="3"/>
  <c r="AA35" i="3"/>
  <c r="Z35" i="3"/>
  <c r="C35" i="3"/>
  <c r="AA34" i="3"/>
  <c r="Z34" i="3"/>
  <c r="C34" i="3"/>
  <c r="AA33" i="3"/>
  <c r="Z33" i="3"/>
  <c r="C33" i="3"/>
  <c r="AA32" i="3"/>
  <c r="Z32" i="3"/>
  <c r="C32" i="3"/>
  <c r="AA31" i="3"/>
  <c r="Z31" i="3"/>
  <c r="C31" i="3"/>
  <c r="AA30" i="3"/>
  <c r="Z30" i="3"/>
  <c r="C30" i="3"/>
  <c r="AA29" i="3"/>
  <c r="Z29" i="3"/>
  <c r="C29" i="3"/>
  <c r="AA28" i="3"/>
  <c r="Z28" i="3"/>
  <c r="C28" i="3"/>
  <c r="AA27" i="3"/>
  <c r="Z27" i="3"/>
  <c r="C27" i="3"/>
  <c r="AA26" i="3"/>
  <c r="Z26" i="3"/>
  <c r="C26" i="3"/>
  <c r="AA25" i="3"/>
  <c r="Z25" i="3"/>
  <c r="C25" i="3"/>
  <c r="AA24" i="3"/>
  <c r="Z24" i="3"/>
  <c r="C24" i="3"/>
  <c r="AA23" i="3"/>
  <c r="Z23" i="3"/>
  <c r="C23" i="3"/>
  <c r="AA22" i="3"/>
  <c r="Z22" i="3"/>
  <c r="C22" i="3"/>
  <c r="AA21" i="3"/>
  <c r="Z21" i="3"/>
  <c r="C21" i="3"/>
  <c r="AA20" i="3"/>
  <c r="Z20" i="3"/>
  <c r="C20" i="3"/>
  <c r="AA19" i="3"/>
  <c r="Z19" i="3"/>
  <c r="C19" i="3"/>
  <c r="AA18" i="3"/>
  <c r="Z18" i="3"/>
  <c r="C18" i="3"/>
  <c r="AA17" i="3"/>
  <c r="Z17" i="3"/>
  <c r="C17" i="3"/>
  <c r="AA16" i="3"/>
  <c r="Z16" i="3"/>
  <c r="C16" i="3"/>
  <c r="AA15" i="3"/>
  <c r="Z15" i="3"/>
  <c r="C15" i="3"/>
  <c r="AA14" i="3"/>
  <c r="Z14" i="3"/>
  <c r="C14" i="3"/>
  <c r="AA13" i="3"/>
  <c r="Z13" i="3"/>
  <c r="C13" i="3"/>
  <c r="AA12" i="3"/>
  <c r="Z12" i="3"/>
  <c r="C12" i="3"/>
  <c r="AA11" i="3"/>
  <c r="Z11" i="3"/>
  <c r="C11" i="3"/>
  <c r="AA10" i="3"/>
  <c r="Z10" i="3"/>
  <c r="C10" i="3"/>
  <c r="AA9" i="3"/>
  <c r="Z9" i="3"/>
  <c r="C9" i="3"/>
  <c r="AA8" i="3"/>
  <c r="Z8" i="3"/>
  <c r="C8" i="3"/>
  <c r="AA7" i="3"/>
  <c r="Z7" i="3"/>
  <c r="C7" i="3"/>
  <c r="AA6" i="3"/>
  <c r="Z6" i="3"/>
  <c r="C6" i="3"/>
  <c r="AA5" i="3"/>
  <c r="Z5" i="3"/>
  <c r="C5" i="3"/>
  <c r="AA4" i="3"/>
  <c r="Z4" i="3"/>
  <c r="C4" i="3"/>
  <c r="AA3" i="3"/>
  <c r="Z3" i="3"/>
  <c r="C3" i="3"/>
  <c r="AA2" i="3"/>
  <c r="Z2" i="3"/>
  <c r="C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20BCEC-2DFA-4162-97DC-1278FF7A6EA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4701A3B-8408-4C22-82E8-D8576286F86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96EC21AE-1FA1-4E41-9EBF-6E15B07038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B0A24C4-E766-43A8-BEC1-F546EB384411}" name="WorksheetConnection_Supply Chain Dataset.xlsx!Table1_1" type="102" refreshedVersion="8" minRefreshableVersion="5">
    <extLst>
      <ext xmlns:x15="http://schemas.microsoft.com/office/spreadsheetml/2010/11/main" uri="{DE250136-89BD-433C-8126-D09CA5730AF9}">
        <x15:connection id="Table1_1" autoDelete="1">
          <x15:rangePr sourceName="_xlcn.WorksheetConnection_SupplyChainDataset.xlsxTable1_11"/>
        </x15:connection>
      </ext>
    </extLst>
  </connection>
</connections>
</file>

<file path=xl/sharedStrings.xml><?xml version="1.0" encoding="utf-8"?>
<sst xmlns="http://schemas.openxmlformats.org/spreadsheetml/2006/main" count="1907" uniqueCount="173">
  <si>
    <t>SKU</t>
  </si>
  <si>
    <t>Price</t>
  </si>
  <si>
    <t>Availability</t>
  </si>
  <si>
    <t>Location</t>
  </si>
  <si>
    <t>Routes</t>
  </si>
  <si>
    <t>Costs</t>
  </si>
  <si>
    <t>SKU0</t>
  </si>
  <si>
    <t>Carrier B</t>
  </si>
  <si>
    <t>Supplier 3</t>
  </si>
  <si>
    <t>Mumbai</t>
  </si>
  <si>
    <t>Pending</t>
  </si>
  <si>
    <t>Road</t>
  </si>
  <si>
    <t>Route B</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</si>
  <si>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</si>
  <si>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</si>
  <si>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</si>
  <si>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</si>
  <si>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</si>
  <si>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</si>
  <si>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</si>
  <si>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</si>
  <si>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</si>
  <si>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</si>
  <si>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</si>
  <si>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</si>
  <si>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</si>
  <si>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</si>
  <si>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</si>
  <si>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</si>
  <si>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</si>
  <si>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</si>
  <si>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</si>
  <si>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</si>
  <si>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</si>
  <si>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</si>
  <si>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</si>
  <si>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</si>
  <si>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</si>
  <si>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</si>
  <si>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</si>
  <si>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</si>
  <si>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</si>
  <si>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</si>
  <si>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</si>
  <si>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</si>
  <si>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</si>
  <si>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</si>
  <si>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</si>
  <si>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</si>
  <si>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</si>
  <si>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</si>
  <si>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</si>
  <si>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</si>
  <si>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</si>
  <si>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</si>
  <si>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</si>
  <si>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</si>
  <si>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</si>
  <si>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</si>
  <si>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</si>
  <si>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</si>
  <si>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</si>
  <si>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</si>
  <si>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</si>
  <si>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</si>
  <si>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</si>
  <si>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</si>
  <si>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</si>
  <si>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</si>
  <si>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</si>
  <si>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</si>
  <si>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</si>
  <si>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</si>
  <si>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</si>
  <si>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</si>
  <si>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</si>
  <si>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</si>
  <si>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</si>
  <si>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</si>
  <si>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</si>
  <si>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</si>
  <si>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</si>
  <si>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</si>
  <si>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</si>
  <si>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</si>
  <si>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</si>
  <si>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</si>
  <si>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</si>
  <si>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</si>
  <si>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</si>
  <si>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</si>
  <si>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</si>
  <si>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</si>
  <si>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</si>
  <si>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</si>
  <si>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</si>
  <si>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</si>
  <si>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</si>
  <si>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</si>
  <si>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</si>
  <si>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</si>
  <si>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</si>
  <si>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</si>
  <si>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</si>
  <si>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</si>
  <si>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</si>
  <si>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</si>
  <si>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</si>
  <si>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</si>
  <si>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</si>
  <si>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</si>
  <si>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</si>
  <si>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</si>
  <si>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</si>
  <si>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</si>
  <si>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</si>
  <si>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</si>
  <si>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</si>
  <si>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</si>
  <si>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</si>
  <si>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</si>
  <si>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</si>
  <si>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</si>
  <si>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</si>
  <si>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</si>
  <si>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</si>
  <si>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</si>
  <si>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</si>
  <si>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</si>
  <si>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</si>
  <si>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</si>
  <si>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</si>
  <si>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Total Revenue</t>
  </si>
  <si>
    <t>Total Units Sold</t>
  </si>
  <si>
    <t>Gross Profit Margin</t>
  </si>
  <si>
    <t xml:space="preserve">Inventory Turnover </t>
  </si>
  <si>
    <t>Average Lead Time (Days)</t>
  </si>
  <si>
    <t>KPIs</t>
  </si>
  <si>
    <t>Slicers</t>
  </si>
  <si>
    <t>Product Type</t>
  </si>
  <si>
    <t>Number Of Products Sold</t>
  </si>
  <si>
    <t>Revenue Generated</t>
  </si>
  <si>
    <t>Customer Demographics</t>
  </si>
  <si>
    <t>Stock Levels</t>
  </si>
  <si>
    <t>Lead Times</t>
  </si>
  <si>
    <t>Order Quantities</t>
  </si>
  <si>
    <t>Shipping Times</t>
  </si>
  <si>
    <t>Shipping Carriers</t>
  </si>
  <si>
    <t>Shipping Costs</t>
  </si>
  <si>
    <t>Supplier Name</t>
  </si>
  <si>
    <t>Lead Time</t>
  </si>
  <si>
    <t>Production Volumes</t>
  </si>
  <si>
    <t>Manufacturing Lead Time</t>
  </si>
  <si>
    <t>Manufacturing Costs</t>
  </si>
  <si>
    <t>Inspection Results</t>
  </si>
  <si>
    <t>Defect Rates</t>
  </si>
  <si>
    <t>Transportation Modes</t>
  </si>
  <si>
    <t>Haircare</t>
  </si>
  <si>
    <t>Non-Binary</t>
  </si>
  <si>
    <t>Skincare</t>
  </si>
  <si>
    <t>Cosmetics</t>
  </si>
  <si>
    <t>Shipping Cost</t>
  </si>
  <si>
    <t>CATEGORICAL DATA</t>
  </si>
  <si>
    <t>COGS</t>
  </si>
  <si>
    <t>Gross Profit</t>
  </si>
  <si>
    <t>Inventory Turnover</t>
  </si>
  <si>
    <t>Row Labels</t>
  </si>
  <si>
    <t>Grand Total</t>
  </si>
  <si>
    <t>Sum of Revenue Generated</t>
  </si>
  <si>
    <t>Sum of Number Of Products Sold</t>
  </si>
  <si>
    <t>Sum of Gross Profit</t>
  </si>
  <si>
    <t>Sum of Shipping Times</t>
  </si>
  <si>
    <t>Count of Inventory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</si>
</sst>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43" formatCode="_-* #,##0.00_-;\-* #,##0.00_-;_-* &quot;-&quot;??_-;_-@_-"/>
    <numFmt numFmtId="164" formatCode="_-* #,##0_-;\-* #,##0_-;_-* &quot;-&quot;??_-;_-@_-"/>
    <numFmt numFmtId="171" formatCode="_ [$₹-4009]\ * #,##0.00_ ;_ [$₹-4009]\ * \-#,##0.00_ ;_ [$₹-4009]\ * &quot;-&quot;??_ ;_ @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8"/>
      <name val="Aptos Narrow"/>
      <family val="2"/>
      <scheme val="minor"/>
    </font>
    <font>
      <sz val="11"/>
      <color theme="1"/>
      <name val="Aptos Narrow"/>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0" fillId="0" borderId="0"/>
    <xf numFmtId="44" fontId="1" fillId="0" borderId="0" applyFont="0" applyFill="0" applyBorder="0" applyAlignment="0" applyProtection="0"/>
  </cellStyleXfs>
  <cellXfs count="12">
    <xf numFmtId="0" fontId="0" fillId="0" borderId="0" xfId="0"/>
    <xf numFmtId="0" fontId="16" fillId="0" borderId="0" xfId="0" applyFont="1"/>
    <xf numFmtId="0" fontId="18" fillId="0" borderId="0" xfId="0" applyFont="1"/>
    <xf numFmtId="43" fontId="0" fillId="0" borderId="0" xfId="42" applyFont="1"/>
    <xf numFmtId="164" fontId="0" fillId="0" borderId="0" xfId="42" applyNumberFormat="1" applyFont="1"/>
    <xf numFmtId="164" fontId="0" fillId="0" borderId="0" xfId="42" applyNumberFormat="1" applyFont="1" applyBorder="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71" fontId="0" fillId="0" borderId="0" xfId="44" applyNumberFormat="1" applyFont="1"/>
    <xf numFmtId="171" fontId="0" fillId="0" borderId="0" xfId="0" applyNumberForma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4"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6FE58C74-5842-4627-A726-14DB297D4A9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6">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ont>
        <b val="0"/>
        <i val="0"/>
        <strike val="0"/>
        <condense val="0"/>
        <extend val="0"/>
        <outline val="0"/>
        <shadow val="0"/>
        <u val="none"/>
        <vertAlign val="baseline"/>
        <sz val="11"/>
        <color theme="1"/>
        <name val="Aptos Narrow"/>
        <family val="2"/>
        <scheme val="minor"/>
      </font>
      <numFmt numFmtId="171" formatCode="_ [$₹-4009]\ * #,##0.00_ ;_ [$₹-4009]\ * \-#,##0.00_ ;_ [$₹-4009]\ * &quot;-&quot;??_ ;_ @_ "/>
    </dxf>
    <dxf>
      <numFmt numFmtId="171" formatCode="_ [$₹-4009]\ * #,##0.00_ ;_ [$₹-4009]\ * \-#,##0.00_ ;_ [$₹-4009]\ * &quot;-&quot;??_ ;_ @_ "/>
    </dxf>
    <dxf>
      <numFmt numFmtId="171" formatCode="_ [$₹-4009]\ * #,##0.00_ ;_ [$₹-4009]\ * \-#,##0.00_ ;_ [$₹-4009]\ * &quot;-&quot;??_ ;_ @_ "/>
    </dxf>
    <dxf>
      <numFmt numFmtId="171" formatCode="_ [$₹-4009]\ * #,##0.00_ ;_ [$₹-4009]\ * \-#,##0.00_ ;_ [$₹-4009]\ * &quot;-&quot;??_ ;_ @_ "/>
    </dxf>
    <dxf>
      <font>
        <b val="0"/>
        <i val="0"/>
        <strike val="0"/>
        <condense val="0"/>
        <extend val="0"/>
        <outline val="0"/>
        <shadow val="0"/>
        <u val="none"/>
        <vertAlign val="baseline"/>
        <sz val="11"/>
        <color theme="1"/>
        <name val="Aptos Narrow"/>
        <family val="2"/>
        <scheme val="minor"/>
      </font>
      <numFmt numFmtId="171" formatCode="_ [$₹-4009]\ * #,##0.00_ ;_ [$₹-4009]\ * \-#,##0.00_ ;_ [$₹-4009]\ * &quot;-&quot;??_ ;_ @_ "/>
    </dxf>
    <dxf>
      <numFmt numFmtId="171" formatCode="_ [$₹-4009]\ * #,##0.00_ ;_ [$₹-4009]\ * \-#,##0.00_ ;_ [$₹-4009]\ * &quot;-&quot;??_ ;_ @_ "/>
    </dxf>
    <dxf>
      <numFmt numFmtId="0" formatCode="General"/>
    </dxf>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64" formatCode="_-* #,##0_-;\-* #,##0_-;_-* &quot;-&quot;??_-;_-@_-"/>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9"/>
        </patternFill>
      </fill>
    </dxf>
    <dxf>
      <font>
        <b/>
        <i val="0"/>
        <strike val="0"/>
        <sz val="12"/>
        <color theme="0"/>
      </font>
      <fill>
        <patternFill>
          <bgColor theme="0"/>
        </patternFill>
      </fill>
    </dxf>
    <dxf>
      <fill>
        <patternFill>
          <bgColor rgb="FF5597D3"/>
        </patternFill>
      </fill>
    </dxf>
    <dxf>
      <font>
        <b/>
        <i val="0"/>
        <strike val="0"/>
        <sz val="12"/>
        <color theme="0"/>
      </font>
      <fill>
        <patternFill>
          <bgColor theme="0"/>
        </patternFill>
      </fill>
    </dxf>
  </dxfs>
  <tableStyles count="2" defaultTableStyle="TableStyleMedium2" defaultPivotStyle="PivotStyleLight16">
    <tableStyle name="1st Project" pivot="0" table="0" count="9" xr9:uid="{6F4739D3-8ED2-422C-A318-F4D15C369FCA}">
      <tableStyleElement type="wholeTable" dxfId="435"/>
      <tableStyleElement type="headerRow" dxfId="434"/>
    </tableStyle>
    <tableStyle name="1st Project 2" pivot="0" table="0" count="9" xr9:uid="{E285076E-BB80-4631-8751-F48FD65C72D5}">
      <tableStyleElement type="wholeTable" dxfId="433"/>
      <tableStyleElement type="headerRow" dxfId="432"/>
    </tableStyle>
  </tableStyles>
  <colors>
    <mruColors>
      <color rgb="FF33CC33"/>
      <color rgb="FF99FF33"/>
      <color rgb="FFFFFF99"/>
    </mruColors>
  </colors>
  <extLst>
    <ext xmlns:x14="http://schemas.microsoft.com/office/spreadsheetml/2009/9/main" uri="{46F421CA-312F-682f-3DD2-61675219B42D}">
      <x14:dxfs count="14">
        <dxf>
          <fill>
            <patternFill>
              <bgColor theme="0"/>
            </patternFill>
          </fill>
        </dxf>
        <dxf>
          <fill>
            <patternFill>
              <bgColor theme="0"/>
            </patternFill>
          </fill>
        </dxf>
        <dxf>
          <fill>
            <patternFill>
              <bgColor theme="0"/>
            </patternFill>
          </fill>
        </dxf>
        <dxf>
          <fill>
            <patternFill>
              <bgColor theme="0"/>
            </patternFill>
          </fill>
        </dxf>
        <dxf>
          <font>
            <b/>
            <i val="0"/>
            <sz val="12"/>
          </font>
          <fill>
            <patternFill>
              <bgColor theme="9"/>
            </patternFill>
          </fill>
        </dxf>
        <dxf>
          <fill>
            <patternFill>
              <bgColor theme="0"/>
            </patternFill>
          </fill>
        </dxf>
        <dxf>
          <font>
            <b/>
            <i val="0"/>
            <sz val="12"/>
          </font>
          <fill>
            <patternFill>
              <bgColor theme="9"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578ED1"/>
            </patternFill>
          </fill>
        </dxf>
        <dxf>
          <fill>
            <patternFill>
              <bgColor theme="0"/>
            </patternFill>
          </fill>
        </dxf>
        <dxf>
          <fill>
            <patternFill>
              <bgColor theme="3" tint="0.79998168889431442"/>
            </patternFill>
          </fill>
        </dxf>
      </x14:dxfs>
    </ext>
    <ext xmlns:x14="http://schemas.microsoft.com/office/spreadsheetml/2009/9/main" uri="{EB79DEF2-80B8-43e5-95BD-54CBDDF9020C}">
      <x14:slicerStyles defaultSlicerStyle="SlicerStyleLight1">
        <x14:slicerStyle name="1st Project">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1st Project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PT.PC!$B$3</c:f>
              <c:strCache>
                <c:ptCount val="1"/>
                <c:pt idx="0">
                  <c:v>Total</c:v>
                </c:pt>
              </c:strCache>
            </c:strRef>
          </c:tx>
          <c:spPr>
            <a:solidFill>
              <a:schemeClr val="accent1"/>
            </a:solidFill>
            <a:ln>
              <a:noFill/>
            </a:ln>
            <a:effectLst/>
          </c:spPr>
          <c:invertIfNegative val="0"/>
          <c:cat>
            <c:strRef>
              <c:f>PT.PC!$A$4:$A$7</c:f>
              <c:strCache>
                <c:ptCount val="3"/>
                <c:pt idx="0">
                  <c:v>Skincare</c:v>
                </c:pt>
                <c:pt idx="1">
                  <c:v>Haircare</c:v>
                </c:pt>
                <c:pt idx="2">
                  <c:v>Cosmetics</c:v>
                </c:pt>
              </c:strCache>
            </c:strRef>
          </c:cat>
          <c:val>
            <c:numRef>
              <c:f>PT.PC!$B$4:$B$7</c:f>
              <c:numCache>
                <c:formatCode>_-* #,##0_-;\-* #,##0_-;_-* "-"??_-;_-@_-</c:formatCode>
                <c:ptCount val="3"/>
                <c:pt idx="0">
                  <c:v>217242.73026034274</c:v>
                </c:pt>
                <c:pt idx="1">
                  <c:v>155278.09222967768</c:v>
                </c:pt>
                <c:pt idx="2">
                  <c:v>146877.93380082477</c:v>
                </c:pt>
              </c:numCache>
            </c:numRef>
          </c:val>
          <c:extLst>
            <c:ext xmlns:c16="http://schemas.microsoft.com/office/drawing/2014/chart" uri="{C3380CC4-5D6E-409C-BE32-E72D297353CC}">
              <c16:uniqueId val="{00000000-CE58-4B36-B64E-49B9F303ABC3}"/>
            </c:ext>
          </c:extLst>
        </c:ser>
        <c:dLbls>
          <c:showLegendKey val="0"/>
          <c:showVal val="0"/>
          <c:showCatName val="0"/>
          <c:showSerName val="0"/>
          <c:showPercent val="0"/>
          <c:showBubbleSize val="0"/>
        </c:dLbls>
        <c:gapWidth val="219"/>
        <c:overlap val="-27"/>
        <c:axId val="1967253056"/>
        <c:axId val="1967254016"/>
      </c:barChart>
      <c:catAx>
        <c:axId val="19672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254016"/>
        <c:crosses val="autoZero"/>
        <c:auto val="1"/>
        <c:lblAlgn val="ctr"/>
        <c:lblOffset val="100"/>
        <c:noMultiLvlLbl val="0"/>
      </c:catAx>
      <c:valAx>
        <c:axId val="196725401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25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PT.PC!$B$17</c:f>
              <c:strCache>
                <c:ptCount val="1"/>
                <c:pt idx="0">
                  <c:v>Total</c:v>
                </c:pt>
              </c:strCache>
            </c:strRef>
          </c:tx>
          <c:spPr>
            <a:solidFill>
              <a:schemeClr val="accent1"/>
            </a:solidFill>
            <a:ln>
              <a:noFill/>
            </a:ln>
            <a:effectLst/>
          </c:spPr>
          <c:invertIfNegative val="0"/>
          <c:cat>
            <c:strRef>
              <c:f>PT.PC!$A$18:$A$28</c:f>
              <c:strCache>
                <c:ptCount val="10"/>
                <c:pt idx="0">
                  <c:v>SKU18</c:v>
                </c:pt>
                <c:pt idx="1">
                  <c:v>SKU52</c:v>
                </c:pt>
                <c:pt idx="2">
                  <c:v>SKU88</c:v>
                </c:pt>
                <c:pt idx="3">
                  <c:v>SKU67</c:v>
                </c:pt>
                <c:pt idx="4">
                  <c:v>SKU32</c:v>
                </c:pt>
                <c:pt idx="5">
                  <c:v>SKU2</c:v>
                </c:pt>
                <c:pt idx="6">
                  <c:v>SKU90</c:v>
                </c:pt>
                <c:pt idx="7">
                  <c:v>SKU31</c:v>
                </c:pt>
                <c:pt idx="8">
                  <c:v>SKU38</c:v>
                </c:pt>
                <c:pt idx="9">
                  <c:v>SKU51</c:v>
                </c:pt>
              </c:strCache>
            </c:strRef>
          </c:cat>
          <c:val>
            <c:numRef>
              <c:f>PT.PC!$B$18:$B$28</c:f>
              <c:numCache>
                <c:formatCode>_-* #,##0_-;\-* #,##0_-;_-* "-"??_-;_-@_-</c:formatCode>
                <c:ptCount val="10"/>
                <c:pt idx="0">
                  <c:v>9364.6735050761708</c:v>
                </c:pt>
                <c:pt idx="1">
                  <c:v>9435.7626089121295</c:v>
                </c:pt>
                <c:pt idx="2">
                  <c:v>9444.7420330629793</c:v>
                </c:pt>
                <c:pt idx="3">
                  <c:v>9473.7980325083299</c:v>
                </c:pt>
                <c:pt idx="4">
                  <c:v>9571.5504873278096</c:v>
                </c:pt>
                <c:pt idx="5">
                  <c:v>9577.7496258687297</c:v>
                </c:pt>
                <c:pt idx="6">
                  <c:v>9592.6335702803099</c:v>
                </c:pt>
                <c:pt idx="7">
                  <c:v>9655.1351027193905</c:v>
                </c:pt>
                <c:pt idx="8">
                  <c:v>9692.3180402184298</c:v>
                </c:pt>
                <c:pt idx="9">
                  <c:v>9866.4654579796897</c:v>
                </c:pt>
              </c:numCache>
            </c:numRef>
          </c:val>
          <c:extLst>
            <c:ext xmlns:c16="http://schemas.microsoft.com/office/drawing/2014/chart" uri="{C3380CC4-5D6E-409C-BE32-E72D297353CC}">
              <c16:uniqueId val="{00000000-7476-424B-B2EE-876FE49E39BA}"/>
            </c:ext>
          </c:extLst>
        </c:ser>
        <c:dLbls>
          <c:showLegendKey val="0"/>
          <c:showVal val="0"/>
          <c:showCatName val="0"/>
          <c:showSerName val="0"/>
          <c:showPercent val="0"/>
          <c:showBubbleSize val="0"/>
        </c:dLbls>
        <c:gapWidth val="182"/>
        <c:axId val="688732848"/>
        <c:axId val="688734288"/>
      </c:barChart>
      <c:catAx>
        <c:axId val="68873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34288"/>
        <c:crosses val="autoZero"/>
        <c:auto val="1"/>
        <c:lblAlgn val="ctr"/>
        <c:lblOffset val="100"/>
        <c:noMultiLvlLbl val="0"/>
      </c:catAx>
      <c:valAx>
        <c:axId val="688734288"/>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3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PT.PC!$B$31</c:f>
              <c:strCache>
                <c:ptCount val="1"/>
                <c:pt idx="0">
                  <c:v>Total</c:v>
                </c:pt>
              </c:strCache>
            </c:strRef>
          </c:tx>
          <c:spPr>
            <a:solidFill>
              <a:schemeClr val="accent1"/>
            </a:solidFill>
            <a:ln>
              <a:noFill/>
            </a:ln>
            <a:effectLst/>
          </c:spPr>
          <c:invertIfNegative val="0"/>
          <c:cat>
            <c:strRef>
              <c:f>PT.PC!$A$32:$A$36</c:f>
              <c:strCache>
                <c:ptCount val="4"/>
                <c:pt idx="0">
                  <c:v>Rail</c:v>
                </c:pt>
                <c:pt idx="1">
                  <c:v>Road</c:v>
                </c:pt>
                <c:pt idx="2">
                  <c:v>Air</c:v>
                </c:pt>
                <c:pt idx="3">
                  <c:v>Sea</c:v>
                </c:pt>
              </c:strCache>
            </c:strRef>
          </c:cat>
          <c:val>
            <c:numRef>
              <c:f>PT.PC!$B$32:$B$36</c:f>
              <c:numCache>
                <c:formatCode>_-* #,##0_-;\-* #,##0_-;_-* "-"??_-;_-@_-</c:formatCode>
                <c:ptCount val="4"/>
                <c:pt idx="0">
                  <c:v>184</c:v>
                </c:pt>
                <c:pt idx="1">
                  <c:v>137</c:v>
                </c:pt>
                <c:pt idx="2">
                  <c:v>133</c:v>
                </c:pt>
                <c:pt idx="3">
                  <c:v>121</c:v>
                </c:pt>
              </c:numCache>
            </c:numRef>
          </c:val>
          <c:extLst>
            <c:ext xmlns:c16="http://schemas.microsoft.com/office/drawing/2014/chart" uri="{C3380CC4-5D6E-409C-BE32-E72D297353CC}">
              <c16:uniqueId val="{00000000-CCA9-4977-9E89-82AAAE744203}"/>
            </c:ext>
          </c:extLst>
        </c:ser>
        <c:dLbls>
          <c:showLegendKey val="0"/>
          <c:showVal val="0"/>
          <c:showCatName val="0"/>
          <c:showSerName val="0"/>
          <c:showPercent val="0"/>
          <c:showBubbleSize val="0"/>
        </c:dLbls>
        <c:gapWidth val="219"/>
        <c:overlap val="-27"/>
        <c:axId val="1354604608"/>
        <c:axId val="1354606048"/>
      </c:barChart>
      <c:catAx>
        <c:axId val="13546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606048"/>
        <c:crosses val="autoZero"/>
        <c:auto val="1"/>
        <c:lblAlgn val="ctr"/>
        <c:lblOffset val="100"/>
        <c:noMultiLvlLbl val="0"/>
      </c:catAx>
      <c:valAx>
        <c:axId val="135460604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6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PT.PC!$B$39</c:f>
              <c:strCache>
                <c:ptCount val="1"/>
                <c:pt idx="0">
                  <c:v>Total</c:v>
                </c:pt>
              </c:strCache>
            </c:strRef>
          </c:tx>
          <c:spPr>
            <a:solidFill>
              <a:schemeClr val="accent1"/>
            </a:solidFill>
            <a:ln>
              <a:noFill/>
            </a:ln>
            <a:effectLst/>
          </c:spPr>
          <c:invertIfNegative val="0"/>
          <c:cat>
            <c:strRef>
              <c:f>PT.PC!$A$40:$A$43</c:f>
              <c:strCache>
                <c:ptCount val="3"/>
                <c:pt idx="0">
                  <c:v>Skincare</c:v>
                </c:pt>
                <c:pt idx="1">
                  <c:v>Haircare</c:v>
                </c:pt>
                <c:pt idx="2">
                  <c:v>Cosmetics</c:v>
                </c:pt>
              </c:strCache>
            </c:strRef>
          </c:cat>
          <c:val>
            <c:numRef>
              <c:f>PT.PC!$B$40:$B$43</c:f>
              <c:numCache>
                <c:formatCode>_-* #,##0_-;\-* #,##0_-;_-* "-"??_-;_-@_-</c:formatCode>
                <c:ptCount val="3"/>
                <c:pt idx="0">
                  <c:v>40</c:v>
                </c:pt>
                <c:pt idx="1">
                  <c:v>34</c:v>
                </c:pt>
                <c:pt idx="2">
                  <c:v>26</c:v>
                </c:pt>
              </c:numCache>
            </c:numRef>
          </c:val>
          <c:extLst>
            <c:ext xmlns:c16="http://schemas.microsoft.com/office/drawing/2014/chart" uri="{C3380CC4-5D6E-409C-BE32-E72D297353CC}">
              <c16:uniqueId val="{00000000-1B8D-4B29-A38F-9804BD02D558}"/>
            </c:ext>
          </c:extLst>
        </c:ser>
        <c:dLbls>
          <c:showLegendKey val="0"/>
          <c:showVal val="0"/>
          <c:showCatName val="0"/>
          <c:showSerName val="0"/>
          <c:showPercent val="0"/>
          <c:showBubbleSize val="0"/>
        </c:dLbls>
        <c:gapWidth val="182"/>
        <c:axId val="1352734592"/>
        <c:axId val="1352741312"/>
      </c:barChart>
      <c:catAx>
        <c:axId val="13527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41312"/>
        <c:crosses val="autoZero"/>
        <c:auto val="1"/>
        <c:lblAlgn val="ctr"/>
        <c:lblOffset val="100"/>
        <c:noMultiLvlLbl val="0"/>
      </c:catAx>
      <c:valAx>
        <c:axId val="13527413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3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PT.PC!$B$10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D6-431A-83FF-7C6DF24B3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D6-431A-83FF-7C6DF24B3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D6-431A-83FF-7C6DF24B326F}"/>
              </c:ext>
            </c:extLst>
          </c:dPt>
          <c:cat>
            <c:strRef>
              <c:f>PT.PC!$A$11:$A$14</c:f>
              <c:strCache>
                <c:ptCount val="3"/>
                <c:pt idx="0">
                  <c:v>Skincare</c:v>
                </c:pt>
                <c:pt idx="1">
                  <c:v>Haircare</c:v>
                </c:pt>
                <c:pt idx="2">
                  <c:v>Cosmetics</c:v>
                </c:pt>
              </c:strCache>
            </c:strRef>
          </c:cat>
          <c:val>
            <c:numRef>
              <c:f>PT.PC!$B$11:$B$14</c:f>
              <c:numCache>
                <c:formatCode>_-* #,##0_-;\-* #,##0_-;_-* "-"??_-;_-@_-</c:formatCode>
                <c:ptCount val="3"/>
                <c:pt idx="0">
                  <c:v>20731</c:v>
                </c:pt>
                <c:pt idx="1">
                  <c:v>13611</c:v>
                </c:pt>
                <c:pt idx="2">
                  <c:v>11757</c:v>
                </c:pt>
              </c:numCache>
            </c:numRef>
          </c:val>
          <c:extLst>
            <c:ext xmlns:c16="http://schemas.microsoft.com/office/drawing/2014/chart" uri="{C3380CC4-5D6E-409C-BE32-E72D297353CC}">
              <c16:uniqueId val="{00000000-C184-451B-BD5A-A324CB4466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Dataset.xlsx]PT.PC!PivotTable1</c:name>
    <c:fmtId val="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manualLayout>
          <c:layoutTarget val="inner"/>
          <c:xMode val="edge"/>
          <c:yMode val="edge"/>
          <c:x val="3.1126222715231092E-2"/>
          <c:y val="7.5407651204672632E-2"/>
          <c:w val="0.93152231002649155"/>
          <c:h val="0.78064138066796285"/>
        </c:manualLayout>
      </c:layout>
      <c:barChart>
        <c:barDir val="col"/>
        <c:grouping val="clustered"/>
        <c:varyColors val="0"/>
        <c:ser>
          <c:idx val="0"/>
          <c:order val="0"/>
          <c:tx>
            <c:strRef>
              <c:f>PT.PC!$B$3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PT.PC!$A$4:$A$7</c:f>
              <c:strCache>
                <c:ptCount val="3"/>
                <c:pt idx="0">
                  <c:v>Skincare</c:v>
                </c:pt>
                <c:pt idx="1">
                  <c:v>Haircare</c:v>
                </c:pt>
                <c:pt idx="2">
                  <c:v>Cosmetics</c:v>
                </c:pt>
              </c:strCache>
            </c:strRef>
          </c:cat>
          <c:val>
            <c:numRef>
              <c:f>PT.PC!$B$4:$B$7</c:f>
              <c:numCache>
                <c:formatCode>_-* #,##0_-;\-* #,##0_-;_-* "-"??_-;_-@_-</c:formatCode>
                <c:ptCount val="3"/>
                <c:pt idx="0">
                  <c:v>217242.73026034274</c:v>
                </c:pt>
                <c:pt idx="1">
                  <c:v>155278.09222967768</c:v>
                </c:pt>
                <c:pt idx="2">
                  <c:v>146877.93380082477</c:v>
                </c:pt>
              </c:numCache>
            </c:numRef>
          </c:val>
          <c:extLst>
            <c:ext xmlns:c16="http://schemas.microsoft.com/office/drawing/2014/chart" uri="{C3380CC4-5D6E-409C-BE32-E72D297353CC}">
              <c16:uniqueId val="{00000000-C845-47A5-9756-50E66147E379}"/>
            </c:ext>
          </c:extLst>
        </c:ser>
        <c:dLbls>
          <c:dLblPos val="outEnd"/>
          <c:showLegendKey val="0"/>
          <c:showVal val="1"/>
          <c:showCatName val="0"/>
          <c:showSerName val="0"/>
          <c:showPercent val="0"/>
          <c:showBubbleSize val="0"/>
        </c:dLbls>
        <c:gapWidth val="219"/>
        <c:overlap val="-27"/>
        <c:axId val="1967253056"/>
        <c:axId val="1967254016"/>
      </c:barChart>
      <c:catAx>
        <c:axId val="1967253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67254016"/>
        <c:crosses val="autoZero"/>
        <c:auto val="1"/>
        <c:lblAlgn val="ctr"/>
        <c:lblOffset val="100"/>
        <c:noMultiLvlLbl val="0"/>
      </c:catAx>
      <c:valAx>
        <c:axId val="1967254016"/>
        <c:scaling>
          <c:orientation val="minMax"/>
        </c:scaling>
        <c:delete val="1"/>
        <c:axPos val="l"/>
        <c:numFmt formatCode="_-* #,##0_-;\-* #,##0_-;_-* &quot;-&quot;??_-;_-@_-" sourceLinked="1"/>
        <c:majorTickMark val="out"/>
        <c:minorTickMark val="none"/>
        <c:tickLblPos val="nextTo"/>
        <c:crossAx val="196725305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2883841484378"/>
          <c:y val="9.282391641096692E-2"/>
          <c:w val="0.82068911687249702"/>
          <c:h val="0.87236711493492047"/>
        </c:manualLayout>
      </c:layout>
      <c:barChart>
        <c:barDir val="bar"/>
        <c:grouping val="clustered"/>
        <c:varyColors val="0"/>
        <c:ser>
          <c:idx val="0"/>
          <c:order val="0"/>
          <c:tx>
            <c:strRef>
              <c:f>PT.PC!$B$17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PT.PC!$A$18:$A$28</c:f>
              <c:strCache>
                <c:ptCount val="10"/>
                <c:pt idx="0">
                  <c:v>SKU18</c:v>
                </c:pt>
                <c:pt idx="1">
                  <c:v>SKU52</c:v>
                </c:pt>
                <c:pt idx="2">
                  <c:v>SKU88</c:v>
                </c:pt>
                <c:pt idx="3">
                  <c:v>SKU67</c:v>
                </c:pt>
                <c:pt idx="4">
                  <c:v>SKU32</c:v>
                </c:pt>
                <c:pt idx="5">
                  <c:v>SKU2</c:v>
                </c:pt>
                <c:pt idx="6">
                  <c:v>SKU90</c:v>
                </c:pt>
                <c:pt idx="7">
                  <c:v>SKU31</c:v>
                </c:pt>
                <c:pt idx="8">
                  <c:v>SKU38</c:v>
                </c:pt>
                <c:pt idx="9">
                  <c:v>SKU51</c:v>
                </c:pt>
              </c:strCache>
            </c:strRef>
          </c:cat>
          <c:val>
            <c:numRef>
              <c:f>PT.PC!$B$18:$B$28</c:f>
              <c:numCache>
                <c:formatCode>_-* #,##0_-;\-* #,##0_-;_-* "-"??_-;_-@_-</c:formatCode>
                <c:ptCount val="10"/>
                <c:pt idx="0">
                  <c:v>9364.6735050761708</c:v>
                </c:pt>
                <c:pt idx="1">
                  <c:v>9435.7626089121295</c:v>
                </c:pt>
                <c:pt idx="2">
                  <c:v>9444.7420330629793</c:v>
                </c:pt>
                <c:pt idx="3">
                  <c:v>9473.7980325083299</c:v>
                </c:pt>
                <c:pt idx="4">
                  <c:v>9571.5504873278096</c:v>
                </c:pt>
                <c:pt idx="5">
                  <c:v>9577.7496258687297</c:v>
                </c:pt>
                <c:pt idx="6">
                  <c:v>9592.6335702803099</c:v>
                </c:pt>
                <c:pt idx="7">
                  <c:v>9655.1351027193905</c:v>
                </c:pt>
                <c:pt idx="8">
                  <c:v>9692.3180402184298</c:v>
                </c:pt>
                <c:pt idx="9">
                  <c:v>9866.4654579796897</c:v>
                </c:pt>
              </c:numCache>
            </c:numRef>
          </c:val>
          <c:extLst>
            <c:ext xmlns:c16="http://schemas.microsoft.com/office/drawing/2014/chart" uri="{C3380CC4-5D6E-409C-BE32-E72D297353CC}">
              <c16:uniqueId val="{00000000-2520-4B98-903C-13ABC21D5815}"/>
            </c:ext>
          </c:extLst>
        </c:ser>
        <c:dLbls>
          <c:dLblPos val="outEnd"/>
          <c:showLegendKey val="0"/>
          <c:showVal val="1"/>
          <c:showCatName val="0"/>
          <c:showSerName val="0"/>
          <c:showPercent val="0"/>
          <c:showBubbleSize val="0"/>
        </c:dLbls>
        <c:gapWidth val="182"/>
        <c:axId val="688732848"/>
        <c:axId val="688734288"/>
      </c:barChart>
      <c:catAx>
        <c:axId val="68873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688734288"/>
        <c:crosses val="autoZero"/>
        <c:auto val="1"/>
        <c:lblAlgn val="ctr"/>
        <c:lblOffset val="100"/>
        <c:noMultiLvlLbl val="0"/>
      </c:catAx>
      <c:valAx>
        <c:axId val="688734288"/>
        <c:scaling>
          <c:orientation val="minMax"/>
        </c:scaling>
        <c:delete val="1"/>
        <c:axPos val="b"/>
        <c:numFmt formatCode="_-* #,##0_-;\-* #,##0_-;_-* &quot;-&quot;??_-;_-@_-" sourceLinked="1"/>
        <c:majorTickMark val="none"/>
        <c:minorTickMark val="none"/>
        <c:tickLblPos val="nextTo"/>
        <c:crossAx val="68873284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pivotFmt>
      <c:pivotFmt>
        <c:idx val="7"/>
        <c:spPr>
          <a:solidFill>
            <a:schemeClr val="accent6">
              <a:alpha val="60000"/>
            </a:schemeClr>
          </a:solidFill>
          <a:ln w="19050">
            <a:solidFill>
              <a:schemeClr val="lt1"/>
            </a:solidFill>
          </a:ln>
          <a:effectLst/>
        </c:spPr>
      </c:pivotFmt>
      <c:pivotFmt>
        <c:idx val="8"/>
        <c:spPr>
          <a:solidFill>
            <a:schemeClr val="accent6">
              <a:alpha val="15000"/>
            </a:schemeClr>
          </a:solidFill>
          <a:ln w="19050">
            <a:solidFill>
              <a:schemeClr val="lt1"/>
            </a:solidFill>
          </a:ln>
          <a:effectLst/>
        </c:spPr>
      </c:pivotFmt>
    </c:pivotFmts>
    <c:plotArea>
      <c:layout/>
      <c:doughnutChart>
        <c:varyColors val="1"/>
        <c:ser>
          <c:idx val="0"/>
          <c:order val="0"/>
          <c:tx>
            <c:strRef>
              <c:f>PT.PC!$B$10</c:f>
              <c:strCache>
                <c:ptCount val="1"/>
                <c:pt idx="0">
                  <c:v>Total</c:v>
                </c:pt>
              </c:strCache>
            </c:strRef>
          </c:tx>
          <c:spPr>
            <a:solidFill>
              <a:schemeClr val="accent6"/>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2B1-4CD5-A131-2C6B88FC625B}"/>
              </c:ext>
            </c:extLst>
          </c:dPt>
          <c:dPt>
            <c:idx val="1"/>
            <c:bubble3D val="0"/>
            <c:spPr>
              <a:solidFill>
                <a:schemeClr val="accent6">
                  <a:alpha val="60000"/>
                </a:schemeClr>
              </a:solidFill>
              <a:ln w="19050">
                <a:solidFill>
                  <a:schemeClr val="lt1"/>
                </a:solidFill>
              </a:ln>
              <a:effectLst/>
            </c:spPr>
            <c:extLst>
              <c:ext xmlns:c16="http://schemas.microsoft.com/office/drawing/2014/chart" uri="{C3380CC4-5D6E-409C-BE32-E72D297353CC}">
                <c16:uniqueId val="{00000003-B2B1-4CD5-A131-2C6B88FC625B}"/>
              </c:ext>
            </c:extLst>
          </c:dPt>
          <c:dPt>
            <c:idx val="2"/>
            <c:bubble3D val="0"/>
            <c:spPr>
              <a:solidFill>
                <a:schemeClr val="accent6">
                  <a:alpha val="15000"/>
                </a:schemeClr>
              </a:solidFill>
              <a:ln w="19050">
                <a:solidFill>
                  <a:schemeClr val="lt1"/>
                </a:solidFill>
              </a:ln>
              <a:effectLst/>
            </c:spPr>
            <c:extLst>
              <c:ext xmlns:c16="http://schemas.microsoft.com/office/drawing/2014/chart" uri="{C3380CC4-5D6E-409C-BE32-E72D297353CC}">
                <c16:uniqueId val="{00000005-B2B1-4CD5-A131-2C6B88FC625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PT.PC!$A$11:$A$14</c:f>
              <c:strCache>
                <c:ptCount val="3"/>
                <c:pt idx="0">
                  <c:v>Skincare</c:v>
                </c:pt>
                <c:pt idx="1">
                  <c:v>Haircare</c:v>
                </c:pt>
                <c:pt idx="2">
                  <c:v>Cosmetics</c:v>
                </c:pt>
              </c:strCache>
            </c:strRef>
          </c:cat>
          <c:val>
            <c:numRef>
              <c:f>PT.PC!$B$11:$B$14</c:f>
              <c:numCache>
                <c:formatCode>_-* #,##0_-;\-* #,##0_-;_-* "-"??_-;_-@_-</c:formatCode>
                <c:ptCount val="3"/>
                <c:pt idx="0">
                  <c:v>20731</c:v>
                </c:pt>
                <c:pt idx="1">
                  <c:v>13611</c:v>
                </c:pt>
                <c:pt idx="2">
                  <c:v>11757</c:v>
                </c:pt>
              </c:numCache>
            </c:numRef>
          </c:val>
          <c:extLst>
            <c:ext xmlns:c16="http://schemas.microsoft.com/office/drawing/2014/chart" uri="{C3380CC4-5D6E-409C-BE32-E72D297353CC}">
              <c16:uniqueId val="{00000006-B2B1-4CD5-A131-2C6B88FC625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Dataset.xlsx]PT.PC!PivotTable11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83809889167049E-2"/>
          <c:y val="9.1429805576678194E-2"/>
          <c:w val="0.9320323802216659"/>
          <c:h val="0.78390214491084242"/>
        </c:manualLayout>
      </c:layout>
      <c:barChart>
        <c:barDir val="col"/>
        <c:grouping val="clustered"/>
        <c:varyColors val="0"/>
        <c:ser>
          <c:idx val="0"/>
          <c:order val="0"/>
          <c:tx>
            <c:strRef>
              <c:f>PT.PC!$B$39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PT.PC!$A$40:$A$43</c:f>
              <c:strCache>
                <c:ptCount val="3"/>
                <c:pt idx="0">
                  <c:v>Skincare</c:v>
                </c:pt>
                <c:pt idx="1">
                  <c:v>Haircare</c:v>
                </c:pt>
                <c:pt idx="2">
                  <c:v>Cosmetics</c:v>
                </c:pt>
              </c:strCache>
            </c:strRef>
          </c:cat>
          <c:val>
            <c:numRef>
              <c:f>PT.PC!$B$40:$B$43</c:f>
              <c:numCache>
                <c:formatCode>_-* #,##0_-;\-* #,##0_-;_-* "-"??_-;_-@_-</c:formatCode>
                <c:ptCount val="3"/>
                <c:pt idx="0">
                  <c:v>40</c:v>
                </c:pt>
                <c:pt idx="1">
                  <c:v>34</c:v>
                </c:pt>
                <c:pt idx="2">
                  <c:v>26</c:v>
                </c:pt>
              </c:numCache>
            </c:numRef>
          </c:val>
          <c:extLst>
            <c:ext xmlns:c16="http://schemas.microsoft.com/office/drawing/2014/chart" uri="{C3380CC4-5D6E-409C-BE32-E72D297353CC}">
              <c16:uniqueId val="{00000000-6453-4751-A10A-E53E4A7F1096}"/>
            </c:ext>
          </c:extLst>
        </c:ser>
        <c:dLbls>
          <c:dLblPos val="outEnd"/>
          <c:showLegendKey val="0"/>
          <c:showVal val="1"/>
          <c:showCatName val="0"/>
          <c:showSerName val="0"/>
          <c:showPercent val="0"/>
          <c:showBubbleSize val="0"/>
        </c:dLbls>
        <c:gapWidth val="182"/>
        <c:axId val="1352734592"/>
        <c:axId val="1352741312"/>
      </c:barChart>
      <c:catAx>
        <c:axId val="13527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352741312"/>
        <c:crosses val="autoZero"/>
        <c:auto val="1"/>
        <c:lblAlgn val="ctr"/>
        <c:lblOffset val="100"/>
        <c:noMultiLvlLbl val="0"/>
      </c:catAx>
      <c:valAx>
        <c:axId val="1352741312"/>
        <c:scaling>
          <c:orientation val="minMax"/>
        </c:scaling>
        <c:delete val="1"/>
        <c:axPos val="l"/>
        <c:numFmt formatCode="_-* #,##0_-;\-* #,##0_-;_-* &quot;-&quot;??_-;_-@_-" sourceLinked="1"/>
        <c:majorTickMark val="none"/>
        <c:minorTickMark val="none"/>
        <c:tickLblPos val="nextTo"/>
        <c:crossAx val="135273459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54429</xdr:colOff>
      <xdr:row>0</xdr:row>
      <xdr:rowOff>0</xdr:rowOff>
    </xdr:from>
    <xdr:to>
      <xdr:col>7</xdr:col>
      <xdr:colOff>132184</xdr:colOff>
      <xdr:row>14</xdr:row>
      <xdr:rowOff>130629</xdr:rowOff>
    </xdr:to>
    <xdr:graphicFrame macro="">
      <xdr:nvGraphicFramePr>
        <xdr:cNvPr id="7" name="Chart 6">
          <a:extLst>
            <a:ext uri="{FF2B5EF4-FFF2-40B4-BE49-F238E27FC236}">
              <a16:creationId xmlns:a16="http://schemas.microsoft.com/office/drawing/2014/main" id="{ADB548A9-4D5A-A5BE-9877-DF4A60358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279918</xdr:colOff>
      <xdr:row>16</xdr:row>
      <xdr:rowOff>0</xdr:rowOff>
    </xdr:from>
    <xdr:to>
      <xdr:col>8</xdr:col>
      <xdr:colOff>520959</xdr:colOff>
      <xdr:row>30</xdr:row>
      <xdr:rowOff>119741</xdr:rowOff>
    </xdr:to>
    <xdr:graphicFrame macro="">
      <xdr:nvGraphicFramePr>
        <xdr:cNvPr id="10" name="Chart 9">
          <a:extLst>
            <a:ext uri="{FF2B5EF4-FFF2-40B4-BE49-F238E27FC236}">
              <a16:creationId xmlns:a16="http://schemas.microsoft.com/office/drawing/2014/main" id="{6C7A64A9-ABED-9002-1B9B-1288114F7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295469</xdr:colOff>
      <xdr:row>30</xdr:row>
      <xdr:rowOff>167951</xdr:rowOff>
    </xdr:from>
    <xdr:to>
      <xdr:col>7</xdr:col>
      <xdr:colOff>373224</xdr:colOff>
      <xdr:row>45</xdr:row>
      <xdr:rowOff>111967</xdr:rowOff>
    </xdr:to>
    <xdr:graphicFrame macro="">
      <xdr:nvGraphicFramePr>
        <xdr:cNvPr id="12" name="Chart 11">
          <a:extLst>
            <a:ext uri="{FF2B5EF4-FFF2-40B4-BE49-F238E27FC236}">
              <a16:creationId xmlns:a16="http://schemas.microsoft.com/office/drawing/2014/main" id="{71E2367D-B6FA-4626-A921-EAFBA854B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388775</xdr:colOff>
      <xdr:row>31</xdr:row>
      <xdr:rowOff>66869</xdr:rowOff>
    </xdr:from>
    <xdr:to>
      <xdr:col>14</xdr:col>
      <xdr:colOff>108857</xdr:colOff>
      <xdr:row>46</xdr:row>
      <xdr:rowOff>10886</xdr:rowOff>
    </xdr:to>
    <xdr:graphicFrame macro="">
      <xdr:nvGraphicFramePr>
        <xdr:cNvPr id="14" name="Chart 13">
          <a:extLst>
            <a:ext uri="{FF2B5EF4-FFF2-40B4-BE49-F238E27FC236}">
              <a16:creationId xmlns:a16="http://schemas.microsoft.com/office/drawing/2014/main" id="{D650FDFC-4D63-D936-7E1E-F642AE3A5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612399</xdr:colOff>
      <xdr:row>43</xdr:row>
      <xdr:rowOff>167951</xdr:rowOff>
    </xdr:from>
    <xdr:ext cx="1828800" cy="1690395"/>
    <mc:AlternateContent xmlns:mc="http://schemas.openxmlformats.org/markup-compatibility/2006">
      <mc:Choice xmlns:a14="http://schemas.microsoft.com/office/drawing/2010/main" Requires="a14">
        <xdr:graphicFrame macro="">
          <xdr:nvGraphicFramePr>
            <xdr:cNvPr id="19" name="Customer Demographics">
              <a:extLst>
                <a:ext uri="{FF2B5EF4-FFF2-40B4-BE49-F238E27FC236}">
                  <a16:creationId xmlns:a16="http://schemas.microsoft.com/office/drawing/2014/main" id="{CEFB2762-4165-48DA-D470-DBFC6E83F5BF}"/>
                </a:ext>
              </a:extLst>
            </xdr:cNvPr>
            <xdr:cNvGraphicFramePr/>
          </xdr:nvGraphicFramePr>
          <xdr:xfrm>
            <a:off x="0" y="0"/>
            <a:ext cx="0" cy="0"/>
          </xdr:xfrm>
          <a:graphic>
            <a:graphicData uri="http://schemas.microsoft.com/office/drawing/2010/slicer">
              <sle:slicer xmlns:sle="http://schemas.microsoft.com/office/drawing/2010/slicer" name="Customer Demographics"/>
            </a:graphicData>
          </a:graphic>
        </xdr:graphicFrame>
      </mc:Choice>
      <mc:Fallback>
        <xdr:sp macro="" textlink="">
          <xdr:nvSpPr>
            <xdr:cNvPr id="0" name=""/>
            <xdr:cNvSpPr>
              <a:spLocks noTextEdit="1"/>
            </xdr:cNvSpPr>
          </xdr:nvSpPr>
          <xdr:spPr>
            <a:xfrm>
              <a:off x="612399" y="8192278"/>
              <a:ext cx="1828800" cy="16903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680358</xdr:colOff>
      <xdr:row>39</xdr:row>
      <xdr:rowOff>142601</xdr:rowOff>
    </xdr:from>
    <xdr:ext cx="1828800" cy="2581275"/>
    <mc:AlternateContent xmlns:mc="http://schemas.openxmlformats.org/markup-compatibility/2006" xmlns:a14="http://schemas.microsoft.com/office/drawing/2010/main">
      <mc:Choice Requires="a14">
        <xdr:graphicFrame macro="">
          <xdr:nvGraphicFramePr>
            <xdr:cNvPr id="20" name="Location">
              <a:extLst>
                <a:ext uri="{FF2B5EF4-FFF2-40B4-BE49-F238E27FC236}">
                  <a16:creationId xmlns:a16="http://schemas.microsoft.com/office/drawing/2014/main" id="{081065C5-D3C4-F291-0BBE-2137A738E74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285154" y="7420479"/>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7</xdr:col>
      <xdr:colOff>163285</xdr:colOff>
      <xdr:row>0</xdr:row>
      <xdr:rowOff>121298</xdr:rowOff>
    </xdr:from>
    <xdr:to>
      <xdr:col>14</xdr:col>
      <xdr:colOff>489857</xdr:colOff>
      <xdr:row>15</xdr:row>
      <xdr:rowOff>65314</xdr:rowOff>
    </xdr:to>
    <xdr:graphicFrame macro="">
      <xdr:nvGraphicFramePr>
        <xdr:cNvPr id="2" name="Chart 1">
          <a:extLst>
            <a:ext uri="{FF2B5EF4-FFF2-40B4-BE49-F238E27FC236}">
              <a16:creationId xmlns:a16="http://schemas.microsoft.com/office/drawing/2014/main" id="{1E569173-30F3-2AAF-A14B-5C5020FA2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45719</xdr:colOff>
      <xdr:row>1</xdr:row>
      <xdr:rowOff>114300</xdr:rowOff>
    </xdr:from>
    <xdr:to>
      <xdr:col>19</xdr:col>
      <xdr:colOff>548950</xdr:colOff>
      <xdr:row>40</xdr:row>
      <xdr:rowOff>93946</xdr:rowOff>
    </xdr:to>
    <xdr:sp macro="" textlink="">
      <xdr:nvSpPr>
        <xdr:cNvPr id="2" name="Rectangle: Rounded Corners 1">
          <a:extLst>
            <a:ext uri="{FF2B5EF4-FFF2-40B4-BE49-F238E27FC236}">
              <a16:creationId xmlns:a16="http://schemas.microsoft.com/office/drawing/2014/main" id="{8891DB32-275F-45F4-AB66-70C7F2F4F8C3}"/>
            </a:ext>
          </a:extLst>
        </xdr:cNvPr>
        <xdr:cNvSpPr/>
      </xdr:nvSpPr>
      <xdr:spPr>
        <a:xfrm>
          <a:off x="1256568" y="302190"/>
          <a:ext cx="10795450" cy="7307372"/>
        </a:xfrm>
        <a:prstGeom prst="roundRect">
          <a:avLst>
            <a:gd name="adj" fmla="val 2795"/>
          </a:avLst>
        </a:prstGeom>
        <a:solidFill>
          <a:schemeClr val="accent6">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249854</xdr:colOff>
      <xdr:row>2</xdr:row>
      <xdr:rowOff>41754</xdr:rowOff>
    </xdr:from>
    <xdr:to>
      <xdr:col>19</xdr:col>
      <xdr:colOff>369106</xdr:colOff>
      <xdr:row>5</xdr:row>
      <xdr:rowOff>111127</xdr:rowOff>
    </xdr:to>
    <xdr:sp macro="" textlink="">
      <xdr:nvSpPr>
        <xdr:cNvPr id="3" name="Rectangle: Rounded Corners 2">
          <a:extLst>
            <a:ext uri="{FF2B5EF4-FFF2-40B4-BE49-F238E27FC236}">
              <a16:creationId xmlns:a16="http://schemas.microsoft.com/office/drawing/2014/main" id="{B692BA0F-45C1-49B3-8222-38DD3C5D9DF9}"/>
            </a:ext>
          </a:extLst>
        </xdr:cNvPr>
        <xdr:cNvSpPr/>
      </xdr:nvSpPr>
      <xdr:spPr>
        <a:xfrm>
          <a:off x="1460703" y="417535"/>
          <a:ext cx="10411471" cy="633044"/>
        </a:xfrm>
        <a:prstGeom prst="roundRect">
          <a:avLst>
            <a:gd name="adj" fmla="val 27451"/>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517769</xdr:colOff>
      <xdr:row>12</xdr:row>
      <xdr:rowOff>127000</xdr:rowOff>
    </xdr:from>
    <xdr:to>
      <xdr:col>19</xdr:col>
      <xdr:colOff>429846</xdr:colOff>
      <xdr:row>39</xdr:row>
      <xdr:rowOff>170921</xdr:rowOff>
    </xdr:to>
    <xdr:sp macro="" textlink="">
      <xdr:nvSpPr>
        <xdr:cNvPr id="5" name="Rectangle: Rounded Corners 4">
          <a:extLst>
            <a:ext uri="{FF2B5EF4-FFF2-40B4-BE49-F238E27FC236}">
              <a16:creationId xmlns:a16="http://schemas.microsoft.com/office/drawing/2014/main" id="{A7821CCB-97CD-48A6-95C4-9C4A85466764}"/>
            </a:ext>
          </a:extLst>
        </xdr:cNvPr>
        <xdr:cNvSpPr/>
      </xdr:nvSpPr>
      <xdr:spPr>
        <a:xfrm>
          <a:off x="7782865" y="2381685"/>
          <a:ext cx="4150049" cy="5116962"/>
        </a:xfrm>
        <a:prstGeom prst="roundRect">
          <a:avLst>
            <a:gd name="adj" fmla="val 436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xdr:col>
      <xdr:colOff>154353</xdr:colOff>
      <xdr:row>12</xdr:row>
      <xdr:rowOff>127000</xdr:rowOff>
    </xdr:from>
    <xdr:to>
      <xdr:col>5</xdr:col>
      <xdr:colOff>392269</xdr:colOff>
      <xdr:row>39</xdr:row>
      <xdr:rowOff>140347</xdr:rowOff>
    </xdr:to>
    <xdr:sp macro="" textlink="">
      <xdr:nvSpPr>
        <xdr:cNvPr id="6" name="Rectangle: Rounded Corners 5">
          <a:extLst>
            <a:ext uri="{FF2B5EF4-FFF2-40B4-BE49-F238E27FC236}">
              <a16:creationId xmlns:a16="http://schemas.microsoft.com/office/drawing/2014/main" id="{DC98163B-878E-4C40-A0FC-FC754EF15CF5}"/>
            </a:ext>
          </a:extLst>
        </xdr:cNvPr>
        <xdr:cNvSpPr/>
      </xdr:nvSpPr>
      <xdr:spPr>
        <a:xfrm>
          <a:off x="1365202" y="2381685"/>
          <a:ext cx="2054190" cy="5086388"/>
        </a:xfrm>
        <a:prstGeom prst="roundRect">
          <a:avLst>
            <a:gd name="adj" fmla="val 436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xdr:col>
      <xdr:colOff>189522</xdr:colOff>
      <xdr:row>6</xdr:row>
      <xdr:rowOff>34554</xdr:rowOff>
    </xdr:from>
    <xdr:to>
      <xdr:col>6</xdr:col>
      <xdr:colOff>114822</xdr:colOff>
      <xdr:row>12</xdr:row>
      <xdr:rowOff>43535</xdr:rowOff>
    </xdr:to>
    <xdr:sp macro="" textlink="">
      <xdr:nvSpPr>
        <xdr:cNvPr id="10" name="Rectangle: Rounded Corners 9">
          <a:extLst>
            <a:ext uri="{FF2B5EF4-FFF2-40B4-BE49-F238E27FC236}">
              <a16:creationId xmlns:a16="http://schemas.microsoft.com/office/drawing/2014/main" id="{4A7B8B00-5AE3-455B-B7A6-6C34E87DD336}"/>
            </a:ext>
          </a:extLst>
        </xdr:cNvPr>
        <xdr:cNvSpPr/>
      </xdr:nvSpPr>
      <xdr:spPr>
        <a:xfrm>
          <a:off x="1400371" y="1161896"/>
          <a:ext cx="2346999" cy="1136324"/>
        </a:xfrm>
        <a:prstGeom prst="roundRect">
          <a:avLst>
            <a:gd name="adj" fmla="val 144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498981</xdr:colOff>
      <xdr:row>12</xdr:row>
      <xdr:rowOff>111713</xdr:rowOff>
    </xdr:from>
    <xdr:to>
      <xdr:col>12</xdr:col>
      <xdr:colOff>411058</xdr:colOff>
      <xdr:row>39</xdr:row>
      <xdr:rowOff>155634</xdr:rowOff>
    </xdr:to>
    <xdr:sp macro="" textlink="">
      <xdr:nvSpPr>
        <xdr:cNvPr id="11" name="Rectangle: Rounded Corners 10">
          <a:extLst>
            <a:ext uri="{FF2B5EF4-FFF2-40B4-BE49-F238E27FC236}">
              <a16:creationId xmlns:a16="http://schemas.microsoft.com/office/drawing/2014/main" id="{27CAB902-AC4F-4F47-9A61-49C358FF1BC2}"/>
            </a:ext>
          </a:extLst>
        </xdr:cNvPr>
        <xdr:cNvSpPr/>
      </xdr:nvSpPr>
      <xdr:spPr>
        <a:xfrm>
          <a:off x="3526104" y="2366398"/>
          <a:ext cx="4150050" cy="5116962"/>
        </a:xfrm>
        <a:prstGeom prst="roundRect">
          <a:avLst>
            <a:gd name="adj" fmla="val 436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523154</xdr:colOff>
      <xdr:row>14</xdr:row>
      <xdr:rowOff>146136</xdr:rowOff>
    </xdr:from>
    <xdr:to>
      <xdr:col>12</xdr:col>
      <xdr:colOff>365342</xdr:colOff>
      <xdr:row>26</xdr:row>
      <xdr:rowOff>80884</xdr:rowOff>
    </xdr:to>
    <xdr:graphicFrame macro="">
      <xdr:nvGraphicFramePr>
        <xdr:cNvPr id="18" name="Chart 17">
          <a:extLst>
            <a:ext uri="{FF2B5EF4-FFF2-40B4-BE49-F238E27FC236}">
              <a16:creationId xmlns:a16="http://schemas.microsoft.com/office/drawing/2014/main" id="{038E461E-FD8F-4FEC-B95E-3879FC31C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526812</xdr:colOff>
      <xdr:row>28</xdr:row>
      <xdr:rowOff>20875</xdr:rowOff>
    </xdr:from>
    <xdr:to>
      <xdr:col>12</xdr:col>
      <xdr:colOff>375780</xdr:colOff>
      <xdr:row>39</xdr:row>
      <xdr:rowOff>143172</xdr:rowOff>
    </xdr:to>
    <xdr:graphicFrame macro="">
      <xdr:nvGraphicFramePr>
        <xdr:cNvPr id="20" name="Chart 19">
          <a:extLst>
            <a:ext uri="{FF2B5EF4-FFF2-40B4-BE49-F238E27FC236}">
              <a16:creationId xmlns:a16="http://schemas.microsoft.com/office/drawing/2014/main" id="{BEAC5A5C-CDE2-4F2C-9A0E-37E308495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535191</xdr:colOff>
      <xdr:row>14</xdr:row>
      <xdr:rowOff>93945</xdr:rowOff>
    </xdr:from>
    <xdr:to>
      <xdr:col>19</xdr:col>
      <xdr:colOff>384673</xdr:colOff>
      <xdr:row>26</xdr:row>
      <xdr:rowOff>33102</xdr:rowOff>
    </xdr:to>
    <xdr:graphicFrame macro="">
      <xdr:nvGraphicFramePr>
        <xdr:cNvPr id="22" name="Chart 21">
          <a:extLst>
            <a:ext uri="{FF2B5EF4-FFF2-40B4-BE49-F238E27FC236}">
              <a16:creationId xmlns:a16="http://schemas.microsoft.com/office/drawing/2014/main" id="{FA854AE7-36D2-40F9-9748-5DD24B4EB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521917</xdr:colOff>
      <xdr:row>27</xdr:row>
      <xdr:rowOff>177452</xdr:rowOff>
    </xdr:from>
    <xdr:to>
      <xdr:col>19</xdr:col>
      <xdr:colOff>394726</xdr:colOff>
      <xdr:row>39</xdr:row>
      <xdr:rowOff>145237</xdr:rowOff>
    </xdr:to>
    <xdr:graphicFrame macro="">
      <xdr:nvGraphicFramePr>
        <xdr:cNvPr id="25" name="Chart 24">
          <a:extLst>
            <a:ext uri="{FF2B5EF4-FFF2-40B4-BE49-F238E27FC236}">
              <a16:creationId xmlns:a16="http://schemas.microsoft.com/office/drawing/2014/main" id="{45A926B6-4096-41F5-BC78-EAB510836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167013</xdr:colOff>
      <xdr:row>29</xdr:row>
      <xdr:rowOff>41754</xdr:rowOff>
    </xdr:from>
    <xdr:to>
      <xdr:col>5</xdr:col>
      <xdr:colOff>365340</xdr:colOff>
      <xdr:row>37</xdr:row>
      <xdr:rowOff>83506</xdr:rowOff>
    </xdr:to>
    <mc:AlternateContent xmlns:mc="http://schemas.openxmlformats.org/markup-compatibility/2006">
      <mc:Choice xmlns:a14="http://schemas.microsoft.com/office/drawing/2010/main" Requires="a14">
        <xdr:graphicFrame macro="">
          <xdr:nvGraphicFramePr>
            <xdr:cNvPr id="14" name="Customer Demographics 1">
              <a:extLst>
                <a:ext uri="{FF2B5EF4-FFF2-40B4-BE49-F238E27FC236}">
                  <a16:creationId xmlns:a16="http://schemas.microsoft.com/office/drawing/2014/main" id="{99C0773F-0E24-41EA-9BAF-1C0D31FD01B5}"/>
                </a:ext>
              </a:extLst>
            </xdr:cNvPr>
            <xdr:cNvGraphicFramePr/>
          </xdr:nvGraphicFramePr>
          <xdr:xfrm>
            <a:off x="0" y="0"/>
            <a:ext cx="0" cy="0"/>
          </xdr:xfrm>
          <a:graphic>
            <a:graphicData uri="http://schemas.microsoft.com/office/drawing/2010/slicer">
              <sle:slicer xmlns:sle="http://schemas.microsoft.com/office/drawing/2010/slicer" name="Customer Demographics 1"/>
            </a:graphicData>
          </a:graphic>
        </xdr:graphicFrame>
      </mc:Choice>
      <mc:Fallback>
        <xdr:sp macro="" textlink="">
          <xdr:nvSpPr>
            <xdr:cNvPr id="0" name=""/>
            <xdr:cNvSpPr>
              <a:spLocks noTextEdit="1"/>
            </xdr:cNvSpPr>
          </xdr:nvSpPr>
          <xdr:spPr>
            <a:xfrm>
              <a:off x="1390506" y="5332824"/>
              <a:ext cx="2033566" cy="15013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177452</xdr:colOff>
      <xdr:row>15</xdr:row>
      <xdr:rowOff>31046</xdr:rowOff>
    </xdr:from>
    <xdr:to>
      <xdr:col>5</xdr:col>
      <xdr:colOff>386219</xdr:colOff>
      <xdr:row>24</xdr:row>
      <xdr:rowOff>156576</xdr:rowOff>
    </xdr:to>
    <mc:AlternateContent xmlns:mc="http://schemas.openxmlformats.org/markup-compatibility/2006">
      <mc:Choice xmlns:a14="http://schemas.microsoft.com/office/drawing/2010/main" Requires="a14">
        <xdr:graphicFrame macro="">
          <xdr:nvGraphicFramePr>
            <xdr:cNvPr id="15" name="Location 1">
              <a:extLst>
                <a:ext uri="{FF2B5EF4-FFF2-40B4-BE49-F238E27FC236}">
                  <a16:creationId xmlns:a16="http://schemas.microsoft.com/office/drawing/2014/main" id="{2C2D2B77-53BB-43C8-B486-9253408D5D9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400945" y="2767807"/>
              <a:ext cx="2044006" cy="1767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41753</xdr:colOff>
      <xdr:row>6</xdr:row>
      <xdr:rowOff>18049</xdr:rowOff>
    </xdr:from>
    <xdr:to>
      <xdr:col>19</xdr:col>
      <xdr:colOff>389683</xdr:colOff>
      <xdr:row>12</xdr:row>
      <xdr:rowOff>27030</xdr:rowOff>
    </xdr:to>
    <xdr:sp macro="" textlink="">
      <xdr:nvSpPr>
        <xdr:cNvPr id="24" name="Rectangle: Rounded Corners 23">
          <a:extLst>
            <a:ext uri="{FF2B5EF4-FFF2-40B4-BE49-F238E27FC236}">
              <a16:creationId xmlns:a16="http://schemas.microsoft.com/office/drawing/2014/main" id="{B8DA1C3A-22A4-65D2-695D-592307926D4F}"/>
            </a:ext>
          </a:extLst>
        </xdr:cNvPr>
        <xdr:cNvSpPr/>
      </xdr:nvSpPr>
      <xdr:spPr>
        <a:xfrm>
          <a:off x="9217950" y="1112753"/>
          <a:ext cx="2794916" cy="1103685"/>
        </a:xfrm>
        <a:prstGeom prst="roundRect">
          <a:avLst>
            <a:gd name="adj" fmla="val 144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574110</xdr:colOff>
      <xdr:row>12</xdr:row>
      <xdr:rowOff>156574</xdr:rowOff>
    </xdr:from>
    <xdr:to>
      <xdr:col>12</xdr:col>
      <xdr:colOff>334027</xdr:colOff>
      <xdr:row>15</xdr:row>
      <xdr:rowOff>20877</xdr:rowOff>
    </xdr:to>
    <xdr:sp macro="" textlink="">
      <xdr:nvSpPr>
        <xdr:cNvPr id="4" name="TextBox 3">
          <a:extLst>
            <a:ext uri="{FF2B5EF4-FFF2-40B4-BE49-F238E27FC236}">
              <a16:creationId xmlns:a16="http://schemas.microsoft.com/office/drawing/2014/main" id="{CAB59270-8193-1FA1-8E0E-5E38502DBD95}"/>
            </a:ext>
          </a:extLst>
        </xdr:cNvPr>
        <xdr:cNvSpPr txBox="1"/>
      </xdr:nvSpPr>
      <xdr:spPr>
        <a:xfrm>
          <a:off x="3601233" y="2411259"/>
          <a:ext cx="3997890" cy="42797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rPr>
            <a:t>PRODUCT </a:t>
          </a:r>
          <a:r>
            <a:rPr lang="en-GB" sz="1200" b="1" baseline="0">
              <a:solidFill>
                <a:schemeClr val="bg1"/>
              </a:solidFill>
            </a:rPr>
            <a:t> TYPE BY GROSS PROFIT</a:t>
          </a:r>
        </a:p>
      </xdr:txBody>
    </xdr:sp>
    <xdr:clientData/>
  </xdr:twoCellAnchor>
  <xdr:twoCellAnchor>
    <xdr:from>
      <xdr:col>12</xdr:col>
      <xdr:colOff>569934</xdr:colOff>
      <xdr:row>12</xdr:row>
      <xdr:rowOff>162838</xdr:rowOff>
    </xdr:from>
    <xdr:to>
      <xdr:col>19</xdr:col>
      <xdr:colOff>329852</xdr:colOff>
      <xdr:row>15</xdr:row>
      <xdr:rowOff>27141</xdr:rowOff>
    </xdr:to>
    <xdr:sp macro="" textlink="">
      <xdr:nvSpPr>
        <xdr:cNvPr id="12" name="TextBox 11">
          <a:extLst>
            <a:ext uri="{FF2B5EF4-FFF2-40B4-BE49-F238E27FC236}">
              <a16:creationId xmlns:a16="http://schemas.microsoft.com/office/drawing/2014/main" id="{009E20C8-9D6F-5539-4FD3-B73B378BF0CE}"/>
            </a:ext>
          </a:extLst>
        </xdr:cNvPr>
        <xdr:cNvSpPr txBox="1"/>
      </xdr:nvSpPr>
      <xdr:spPr>
        <a:xfrm>
          <a:off x="7835030" y="2417523"/>
          <a:ext cx="3997890" cy="42797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rPr>
            <a:t>PRODUCT </a:t>
          </a:r>
          <a:r>
            <a:rPr lang="en-GB" sz="1200" b="1" baseline="0">
              <a:solidFill>
                <a:schemeClr val="bg1"/>
              </a:solidFill>
            </a:rPr>
            <a:t> TYPE BY  NUMBER OF PRODUCTS SOLD</a:t>
          </a:r>
        </a:p>
      </xdr:txBody>
    </xdr:sp>
    <xdr:clientData/>
  </xdr:twoCellAnchor>
  <xdr:twoCellAnchor>
    <xdr:from>
      <xdr:col>5</xdr:col>
      <xdr:colOff>544883</xdr:colOff>
      <xdr:row>26</xdr:row>
      <xdr:rowOff>106470</xdr:rowOff>
    </xdr:from>
    <xdr:to>
      <xdr:col>12</xdr:col>
      <xdr:colOff>304800</xdr:colOff>
      <xdr:row>28</xdr:row>
      <xdr:rowOff>158663</xdr:rowOff>
    </xdr:to>
    <xdr:sp macro="" textlink="">
      <xdr:nvSpPr>
        <xdr:cNvPr id="16" name="TextBox 15">
          <a:extLst>
            <a:ext uri="{FF2B5EF4-FFF2-40B4-BE49-F238E27FC236}">
              <a16:creationId xmlns:a16="http://schemas.microsoft.com/office/drawing/2014/main" id="{8F132FA8-08DE-6E51-91DD-B0518AB09571}"/>
            </a:ext>
          </a:extLst>
        </xdr:cNvPr>
        <xdr:cNvSpPr txBox="1"/>
      </xdr:nvSpPr>
      <xdr:spPr>
        <a:xfrm>
          <a:off x="3572006" y="4991621"/>
          <a:ext cx="3997890" cy="42797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baseline="0">
              <a:solidFill>
                <a:schemeClr val="bg1"/>
              </a:solidFill>
            </a:rPr>
            <a:t>SKU BY REVENUE</a:t>
          </a:r>
        </a:p>
      </xdr:txBody>
    </xdr:sp>
    <xdr:clientData/>
  </xdr:twoCellAnchor>
  <xdr:twoCellAnchor>
    <xdr:from>
      <xdr:col>12</xdr:col>
      <xdr:colOff>603337</xdr:colOff>
      <xdr:row>26</xdr:row>
      <xdr:rowOff>102294</xdr:rowOff>
    </xdr:from>
    <xdr:to>
      <xdr:col>19</xdr:col>
      <xdr:colOff>363255</xdr:colOff>
      <xdr:row>28</xdr:row>
      <xdr:rowOff>154487</xdr:rowOff>
    </xdr:to>
    <xdr:sp macro="" textlink="">
      <xdr:nvSpPr>
        <xdr:cNvPr id="17" name="TextBox 16">
          <a:extLst>
            <a:ext uri="{FF2B5EF4-FFF2-40B4-BE49-F238E27FC236}">
              <a16:creationId xmlns:a16="http://schemas.microsoft.com/office/drawing/2014/main" id="{1CFC27CE-FABD-41BD-5470-471D934AFF6D}"/>
            </a:ext>
          </a:extLst>
        </xdr:cNvPr>
        <xdr:cNvSpPr txBox="1"/>
      </xdr:nvSpPr>
      <xdr:spPr>
        <a:xfrm>
          <a:off x="7868433" y="4987445"/>
          <a:ext cx="3997890" cy="42797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rPr>
            <a:t>PRODUCT </a:t>
          </a:r>
          <a:r>
            <a:rPr lang="en-GB" sz="1200" b="1" baseline="0">
              <a:solidFill>
                <a:schemeClr val="bg1"/>
              </a:solidFill>
            </a:rPr>
            <a:t> TYPE BY  INVENTORY TURNOVER</a:t>
          </a:r>
        </a:p>
      </xdr:txBody>
    </xdr:sp>
    <xdr:clientData/>
  </xdr:twoCellAnchor>
  <xdr:twoCellAnchor>
    <xdr:from>
      <xdr:col>2</xdr:col>
      <xdr:colOff>156576</xdr:colOff>
      <xdr:row>26</xdr:row>
      <xdr:rowOff>52192</xdr:rowOff>
    </xdr:from>
    <xdr:to>
      <xdr:col>19</xdr:col>
      <xdr:colOff>427973</xdr:colOff>
      <xdr:row>26</xdr:row>
      <xdr:rowOff>73069</xdr:rowOff>
    </xdr:to>
    <xdr:cxnSp macro="">
      <xdr:nvCxnSpPr>
        <xdr:cNvPr id="27" name="Straight Connector 26">
          <a:extLst>
            <a:ext uri="{FF2B5EF4-FFF2-40B4-BE49-F238E27FC236}">
              <a16:creationId xmlns:a16="http://schemas.microsoft.com/office/drawing/2014/main" id="{85E373D5-4F9F-16A4-F36F-66AD1F5C7F01}"/>
            </a:ext>
          </a:extLst>
        </xdr:cNvPr>
        <xdr:cNvCxnSpPr/>
      </xdr:nvCxnSpPr>
      <xdr:spPr>
        <a:xfrm flipH="1">
          <a:off x="1367425" y="4937343"/>
          <a:ext cx="10563616" cy="20877"/>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354904</xdr:colOff>
      <xdr:row>2</xdr:row>
      <xdr:rowOff>41753</xdr:rowOff>
    </xdr:from>
    <xdr:to>
      <xdr:col>19</xdr:col>
      <xdr:colOff>250521</xdr:colOff>
      <xdr:row>5</xdr:row>
      <xdr:rowOff>93945</xdr:rowOff>
    </xdr:to>
    <xdr:sp macro="" textlink="">
      <xdr:nvSpPr>
        <xdr:cNvPr id="7" name="TextBox 6">
          <a:extLst>
            <a:ext uri="{FF2B5EF4-FFF2-40B4-BE49-F238E27FC236}">
              <a16:creationId xmlns:a16="http://schemas.microsoft.com/office/drawing/2014/main" id="{C0E168E6-307E-0608-8C9B-51115D6A0684}"/>
            </a:ext>
          </a:extLst>
        </xdr:cNvPr>
        <xdr:cNvSpPr txBox="1"/>
      </xdr:nvSpPr>
      <xdr:spPr>
        <a:xfrm>
          <a:off x="1565753" y="417534"/>
          <a:ext cx="10187836" cy="615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SUPPLY CHAIN ANALYSIS OF SKINCARE, HAIRCARE, AND COSMETICS</a:t>
          </a:r>
        </a:p>
        <a:p>
          <a:pPr algn="ctr"/>
          <a:r>
            <a:rPr lang="en-GB" sz="1600" b="1" i="1">
              <a:solidFill>
                <a:schemeClr val="bg1"/>
              </a:solidFill>
            </a:rPr>
            <a:t>DEDE</a:t>
          </a:r>
          <a:r>
            <a:rPr lang="en-GB" sz="1600" b="1" i="1" baseline="0">
              <a:solidFill>
                <a:schemeClr val="bg1"/>
              </a:solidFill>
            </a:rPr>
            <a:t> JACKSON</a:t>
          </a:r>
          <a:endParaRPr lang="en-GB" sz="1600" b="1" i="1">
            <a:solidFill>
              <a:schemeClr val="bg1"/>
            </a:solidFill>
          </a:endParaRPr>
        </a:p>
      </xdr:txBody>
    </xdr:sp>
    <xdr:clientData/>
  </xdr:twoCellAnchor>
  <xdr:twoCellAnchor>
    <xdr:from>
      <xdr:col>2</xdr:col>
      <xdr:colOff>422239</xdr:colOff>
      <xdr:row>7</xdr:row>
      <xdr:rowOff>63846</xdr:rowOff>
    </xdr:from>
    <xdr:to>
      <xdr:col>5</xdr:col>
      <xdr:colOff>516184</xdr:colOff>
      <xdr:row>11</xdr:row>
      <xdr:rowOff>64394</xdr:rowOff>
    </xdr:to>
    <xdr:sp macro="" textlink="">
      <xdr:nvSpPr>
        <xdr:cNvPr id="8" name="TextBox 7">
          <a:extLst>
            <a:ext uri="{FF2B5EF4-FFF2-40B4-BE49-F238E27FC236}">
              <a16:creationId xmlns:a16="http://schemas.microsoft.com/office/drawing/2014/main" id="{6DFA282F-CAB6-F673-6FBC-9B659C21C284}"/>
            </a:ext>
          </a:extLst>
        </xdr:cNvPr>
        <xdr:cNvSpPr txBox="1"/>
      </xdr:nvSpPr>
      <xdr:spPr>
        <a:xfrm>
          <a:off x="1645732" y="1341001"/>
          <a:ext cx="1929184" cy="730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dk1"/>
              </a:solidFill>
              <a:effectLst/>
              <a:latin typeface="+mn-lt"/>
              <a:ea typeface="+mn-ea"/>
              <a:cs typeface="+mn-cs"/>
            </a:rPr>
            <a:t>₹519,398.76 </a:t>
          </a:r>
          <a:endParaRPr lang="en-GB" sz="2000"/>
        </a:p>
      </xdr:txBody>
    </xdr:sp>
    <xdr:clientData/>
  </xdr:twoCellAnchor>
  <xdr:twoCellAnchor>
    <xdr:from>
      <xdr:col>15</xdr:col>
      <xdr:colOff>454273</xdr:colOff>
      <xdr:row>7</xdr:row>
      <xdr:rowOff>161074</xdr:rowOff>
    </xdr:from>
    <xdr:to>
      <xdr:col>18</xdr:col>
      <xdr:colOff>548218</xdr:colOff>
      <xdr:row>11</xdr:row>
      <xdr:rowOff>75126</xdr:rowOff>
    </xdr:to>
    <xdr:sp macro="" textlink="">
      <xdr:nvSpPr>
        <xdr:cNvPr id="28" name="TextBox 27">
          <a:extLst>
            <a:ext uri="{FF2B5EF4-FFF2-40B4-BE49-F238E27FC236}">
              <a16:creationId xmlns:a16="http://schemas.microsoft.com/office/drawing/2014/main" id="{D18246ED-EE26-4D10-3993-D051CD8A64F0}"/>
            </a:ext>
          </a:extLst>
        </xdr:cNvPr>
        <xdr:cNvSpPr txBox="1"/>
      </xdr:nvSpPr>
      <xdr:spPr>
        <a:xfrm>
          <a:off x="9630470" y="1438229"/>
          <a:ext cx="1929185" cy="643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dk1"/>
              </a:solidFill>
              <a:effectLst/>
              <a:latin typeface="+mn-lt"/>
              <a:ea typeface="+mn-ea"/>
              <a:cs typeface="+mn-cs"/>
            </a:rPr>
            <a:t>15.96 </a:t>
          </a:r>
          <a:endParaRPr lang="en-GB" sz="2000" b="1"/>
        </a:p>
      </xdr:txBody>
    </xdr:sp>
    <xdr:clientData/>
  </xdr:twoCellAnchor>
  <xdr:twoCellAnchor>
    <xdr:from>
      <xdr:col>2</xdr:col>
      <xdr:colOff>493838</xdr:colOff>
      <xdr:row>6</xdr:row>
      <xdr:rowOff>73070</xdr:rowOff>
    </xdr:from>
    <xdr:to>
      <xdr:col>5</xdr:col>
      <xdr:colOff>420769</xdr:colOff>
      <xdr:row>8</xdr:row>
      <xdr:rowOff>52193</xdr:rowOff>
    </xdr:to>
    <xdr:sp macro="" textlink="">
      <xdr:nvSpPr>
        <xdr:cNvPr id="31" name="TextBox 30">
          <a:extLst>
            <a:ext uri="{FF2B5EF4-FFF2-40B4-BE49-F238E27FC236}">
              <a16:creationId xmlns:a16="http://schemas.microsoft.com/office/drawing/2014/main" id="{C1F033FC-79AE-C4A2-1FAF-4B0D845A9ED6}"/>
            </a:ext>
          </a:extLst>
        </xdr:cNvPr>
        <xdr:cNvSpPr txBox="1"/>
      </xdr:nvSpPr>
      <xdr:spPr>
        <a:xfrm>
          <a:off x="1717331" y="1167774"/>
          <a:ext cx="1762170" cy="344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GROSS PROFIT</a:t>
          </a:r>
        </a:p>
      </xdr:txBody>
    </xdr:sp>
    <xdr:clientData/>
  </xdr:twoCellAnchor>
  <xdr:twoCellAnchor>
    <xdr:from>
      <xdr:col>15</xdr:col>
      <xdr:colOff>156574</xdr:colOff>
      <xdr:row>6</xdr:row>
      <xdr:rowOff>43843</xdr:rowOff>
    </xdr:from>
    <xdr:to>
      <xdr:col>19</xdr:col>
      <xdr:colOff>281835</xdr:colOff>
      <xdr:row>8</xdr:row>
      <xdr:rowOff>22966</xdr:rowOff>
    </xdr:to>
    <xdr:sp macro="" textlink="">
      <xdr:nvSpPr>
        <xdr:cNvPr id="35" name="TextBox 34">
          <a:extLst>
            <a:ext uri="{FF2B5EF4-FFF2-40B4-BE49-F238E27FC236}">
              <a16:creationId xmlns:a16="http://schemas.microsoft.com/office/drawing/2014/main" id="{C1762C4F-1BA5-0C79-0480-0DED32B53615}"/>
            </a:ext>
          </a:extLst>
        </xdr:cNvPr>
        <xdr:cNvSpPr txBox="1"/>
      </xdr:nvSpPr>
      <xdr:spPr>
        <a:xfrm>
          <a:off x="9332771" y="1138547"/>
          <a:ext cx="2572247" cy="344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AVG</a:t>
          </a:r>
          <a:r>
            <a:rPr lang="en-GB" sz="1600" b="1" baseline="0"/>
            <a:t> INVENTORY TURNOVER</a:t>
          </a:r>
          <a:endParaRPr lang="en-GB" sz="1600" b="1"/>
        </a:p>
      </xdr:txBody>
    </xdr:sp>
    <xdr:clientData/>
  </xdr:twoCellAnchor>
  <xdr:twoCellAnchor>
    <xdr:from>
      <xdr:col>10</xdr:col>
      <xdr:colOff>217086</xdr:colOff>
      <xdr:row>6</xdr:row>
      <xdr:rowOff>26301</xdr:rowOff>
    </xdr:from>
    <xdr:to>
      <xdr:col>14</xdr:col>
      <xdr:colOff>565016</xdr:colOff>
      <xdr:row>12</xdr:row>
      <xdr:rowOff>35282</xdr:rowOff>
    </xdr:to>
    <xdr:sp macro="" textlink="">
      <xdr:nvSpPr>
        <xdr:cNvPr id="39" name="Rectangle: Rounded Corners 38">
          <a:extLst>
            <a:ext uri="{FF2B5EF4-FFF2-40B4-BE49-F238E27FC236}">
              <a16:creationId xmlns:a16="http://schemas.microsoft.com/office/drawing/2014/main" id="{C74AE3DE-13DF-69B8-DA19-A59498CC0E7C}"/>
            </a:ext>
          </a:extLst>
        </xdr:cNvPr>
        <xdr:cNvSpPr/>
      </xdr:nvSpPr>
      <xdr:spPr>
        <a:xfrm>
          <a:off x="6334551" y="1121005"/>
          <a:ext cx="2794916" cy="1103685"/>
        </a:xfrm>
        <a:prstGeom prst="roundRect">
          <a:avLst>
            <a:gd name="adj" fmla="val 144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10</xdr:col>
      <xdr:colOff>504078</xdr:colOff>
      <xdr:row>6</xdr:row>
      <xdr:rowOff>29229</xdr:rowOff>
    </xdr:from>
    <xdr:to>
      <xdr:col>14</xdr:col>
      <xdr:colOff>257674</xdr:colOff>
      <xdr:row>8</xdr:row>
      <xdr:rowOff>8352</xdr:rowOff>
    </xdr:to>
    <xdr:sp macro="" textlink="">
      <xdr:nvSpPr>
        <xdr:cNvPr id="34" name="TextBox 33">
          <a:extLst>
            <a:ext uri="{FF2B5EF4-FFF2-40B4-BE49-F238E27FC236}">
              <a16:creationId xmlns:a16="http://schemas.microsoft.com/office/drawing/2014/main" id="{44B7A5D1-8C14-AAEE-EE03-580405BA95B5}"/>
            </a:ext>
          </a:extLst>
        </xdr:cNvPr>
        <xdr:cNvSpPr txBox="1"/>
      </xdr:nvSpPr>
      <xdr:spPr>
        <a:xfrm>
          <a:off x="6621543" y="1123933"/>
          <a:ext cx="2200582" cy="344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baseline="0"/>
            <a:t>UNITS PRODUCTS SOLD</a:t>
          </a:r>
          <a:endParaRPr lang="en-GB" sz="1600" b="1"/>
        </a:p>
      </xdr:txBody>
    </xdr:sp>
    <xdr:clientData/>
  </xdr:twoCellAnchor>
  <xdr:twoCellAnchor>
    <xdr:from>
      <xdr:col>6</xdr:col>
      <xdr:colOff>203304</xdr:colOff>
      <xdr:row>6</xdr:row>
      <xdr:rowOff>7616</xdr:rowOff>
    </xdr:from>
    <xdr:to>
      <xdr:col>10</xdr:col>
      <xdr:colOff>128604</xdr:colOff>
      <xdr:row>12</xdr:row>
      <xdr:rowOff>18778</xdr:rowOff>
    </xdr:to>
    <xdr:sp macro="" textlink="">
      <xdr:nvSpPr>
        <xdr:cNvPr id="42" name="Rectangle: Rounded Corners 41">
          <a:extLst>
            <a:ext uri="{FF2B5EF4-FFF2-40B4-BE49-F238E27FC236}">
              <a16:creationId xmlns:a16="http://schemas.microsoft.com/office/drawing/2014/main" id="{2C17F971-E407-0D32-3581-1D2D498EC002}"/>
            </a:ext>
          </a:extLst>
        </xdr:cNvPr>
        <xdr:cNvSpPr/>
      </xdr:nvSpPr>
      <xdr:spPr>
        <a:xfrm>
          <a:off x="3873783" y="1102320"/>
          <a:ext cx="2372286" cy="1105866"/>
        </a:xfrm>
        <a:prstGeom prst="roundRect">
          <a:avLst>
            <a:gd name="adj" fmla="val 144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480653</xdr:colOff>
      <xdr:row>6</xdr:row>
      <xdr:rowOff>4795</xdr:rowOff>
    </xdr:from>
    <xdr:to>
      <xdr:col>9</xdr:col>
      <xdr:colOff>401263</xdr:colOff>
      <xdr:row>7</xdr:row>
      <xdr:rowOff>166369</xdr:rowOff>
    </xdr:to>
    <xdr:sp macro="" textlink="">
      <xdr:nvSpPr>
        <xdr:cNvPr id="32" name="TextBox 31">
          <a:extLst>
            <a:ext uri="{FF2B5EF4-FFF2-40B4-BE49-F238E27FC236}">
              <a16:creationId xmlns:a16="http://schemas.microsoft.com/office/drawing/2014/main" id="{B6EBE1A3-80B1-4E3B-BB4F-79ED37D35A3A}"/>
            </a:ext>
          </a:extLst>
        </xdr:cNvPr>
        <xdr:cNvSpPr txBox="1"/>
      </xdr:nvSpPr>
      <xdr:spPr>
        <a:xfrm>
          <a:off x="4151132" y="1099499"/>
          <a:ext cx="1755849" cy="344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REVENUE</a:t>
          </a:r>
        </a:p>
      </xdr:txBody>
    </xdr:sp>
    <xdr:clientData/>
  </xdr:twoCellAnchor>
  <xdr:twoCellAnchor>
    <xdr:from>
      <xdr:col>6</xdr:col>
      <xdr:colOff>377147</xdr:colOff>
      <xdr:row>7</xdr:row>
      <xdr:rowOff>105293</xdr:rowOff>
    </xdr:from>
    <xdr:to>
      <xdr:col>9</xdr:col>
      <xdr:colOff>477414</xdr:colOff>
      <xdr:row>11</xdr:row>
      <xdr:rowOff>118056</xdr:rowOff>
    </xdr:to>
    <xdr:sp macro="" textlink="">
      <xdr:nvSpPr>
        <xdr:cNvPr id="29" name="TextBox 28">
          <a:extLst>
            <a:ext uri="{FF2B5EF4-FFF2-40B4-BE49-F238E27FC236}">
              <a16:creationId xmlns:a16="http://schemas.microsoft.com/office/drawing/2014/main" id="{5962E0DB-E759-266D-8926-E81AC3F8CACD}"/>
            </a:ext>
          </a:extLst>
        </xdr:cNvPr>
        <xdr:cNvSpPr txBox="1"/>
      </xdr:nvSpPr>
      <xdr:spPr>
        <a:xfrm>
          <a:off x="4047626" y="1382448"/>
          <a:ext cx="1935506" cy="742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dk1"/>
              </a:solidFill>
              <a:effectLst/>
              <a:latin typeface="+mn-lt"/>
              <a:ea typeface="+mn-ea"/>
              <a:cs typeface="+mn-cs"/>
            </a:rPr>
            <a:t>₹577,604.82 </a:t>
          </a:r>
          <a:endParaRPr lang="en-GB" sz="2000"/>
        </a:p>
      </xdr:txBody>
    </xdr:sp>
    <xdr:clientData/>
  </xdr:twoCellAnchor>
  <xdr:twoCellAnchor>
    <xdr:from>
      <xdr:col>11</xdr:col>
      <xdr:colOff>5672</xdr:colOff>
      <xdr:row>7</xdr:row>
      <xdr:rowOff>122016</xdr:rowOff>
    </xdr:from>
    <xdr:to>
      <xdr:col>14</xdr:col>
      <xdr:colOff>99617</xdr:colOff>
      <xdr:row>11</xdr:row>
      <xdr:rowOff>118056</xdr:rowOff>
    </xdr:to>
    <xdr:sp macro="" textlink="">
      <xdr:nvSpPr>
        <xdr:cNvPr id="43" name="TextBox 42">
          <a:extLst>
            <a:ext uri="{FF2B5EF4-FFF2-40B4-BE49-F238E27FC236}">
              <a16:creationId xmlns:a16="http://schemas.microsoft.com/office/drawing/2014/main" id="{42EB4F65-543A-CA93-44A9-C8F4181691ED}"/>
            </a:ext>
          </a:extLst>
        </xdr:cNvPr>
        <xdr:cNvSpPr txBox="1"/>
      </xdr:nvSpPr>
      <xdr:spPr>
        <a:xfrm>
          <a:off x="6734883" y="1399171"/>
          <a:ext cx="1929185" cy="725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a:solidFill>
                <a:schemeClr val="dk1"/>
              </a:solidFill>
              <a:effectLst/>
              <a:latin typeface="+mn-lt"/>
              <a:ea typeface="+mn-ea"/>
              <a:cs typeface="+mn-cs"/>
            </a:rPr>
            <a:t>46,099 </a:t>
          </a:r>
          <a:endParaRPr lang="en-GB" sz="20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son Dede" refreshedDate="46080.230893402775" backgroundQuery="1" createdVersion="8" refreshedVersion="8" minRefreshableVersion="3" recordCount="0" supportSubquery="1" supportAdvancedDrill="1" xr:uid="{E0B5E19D-5D74-4A38-9542-EDF3493A2E4B}">
  <cacheSource type="external" connectionId="3"/>
  <cacheFields count="3">
    <cacheField name="[Table1_1].[Product Type].[Product Type]" caption="Product Type" numFmtId="0" level="1">
      <sharedItems count="3">
        <s v="Cosmetics"/>
        <s v="Haircare"/>
        <s v="Skincare"/>
      </sharedItems>
    </cacheField>
    <cacheField name="[Measures].[Sum of Gross Profit]" caption="Sum of Gross Profit" numFmtId="0" hierarchy="31" level="32767"/>
    <cacheField name="[Table1_1].[Customer Demographics].[Customer Demographics]" caption="Customer Demographics" numFmtId="0" hierarchy="7" level="1">
      <sharedItems containsSemiMixedTypes="0" containsNonDate="0" containsString="0"/>
    </cacheField>
  </cacheFields>
  <cacheHierarchies count="39">
    <cacheHierarchy uniqueName="[Table1_1].[Product Type]" caption="Product Type" attribute="1" defaultMemberUniqueName="[Table1_1].[Product Type].[All]" allUniqueName="[Table1_1].[Product Type].[All]" dimensionUniqueName="[Table1_1]" displayFolder="" count="2" memberValueDatatype="130" unbalanced="0">
      <fieldsUsage count="2">
        <fieldUsage x="-1"/>
        <fieldUsage x="0"/>
      </fieldsUsage>
    </cacheHierarchy>
    <cacheHierarchy uniqueName="[Table1_1].[SKU]" caption="SKU" attribute="1" defaultMemberUniqueName="[Table1_1].[SKU].[All]" allUniqueName="[Table1_1].[SKU].[All]" dimensionUniqueName="[Table1_1]" displayFolder="" count="0" memberValueDatatype="130" unbalanced="0"/>
    <cacheHierarchy uniqueName="[Table1_1].[Inventory Turnover]" caption="Inventory Turnover" attribute="1" defaultMemberUniqueName="[Table1_1].[Inventory Turnover].[All]" allUniqueName="[Table1_1].[Inventory Turnover].[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Availability]" caption="Availability" attribute="1" defaultMemberUniqueName="[Table1_1].[Availability].[All]" allUniqueName="[Table1_1].[Availability].[All]" dimensionUniqueName="[Table1_1]" displayFolder="" count="0" memberValueDatatype="20" unbalanced="0"/>
    <cacheHierarchy uniqueName="[Table1_1].[Number Of Products Sold]" caption="Number Of Products Sold" attribute="1" defaultMemberUniqueName="[Table1_1].[Number Of Products Sold].[All]" allUniqueName="[Table1_1].[Number Of Products Sold].[All]" dimensionUniqueName="[Table1_1]" displayFolder="" count="0" memberValueDatatype="20" unbalanced="0"/>
    <cacheHierarchy uniqueName="[Table1_1].[Revenue Generated]" caption="Revenue Generated" attribute="1" defaultMemberUniqueName="[Table1_1].[Revenue Generated].[All]" allUniqueName="[Table1_1].[Revenue Generated].[All]" dimensionUniqueName="[Table1_1]" displayFolder="" count="0" memberValueDatatype="5" unbalanced="0"/>
    <cacheHierarchy uniqueName="[Table1_1].[Customer Demographics]" caption="Customer Demographics" attribute="1" defaultMemberUniqueName="[Table1_1].[Customer Demographics].[All]" allUniqueName="[Table1_1].[Customer Demographics].[All]" dimensionUniqueName="[Table1_1]" displayFolder="" count="2" memberValueDatatype="130" unbalanced="0">
      <fieldsUsage count="2">
        <fieldUsage x="-1"/>
        <fieldUsage x="2"/>
      </fieldsUsage>
    </cacheHierarchy>
    <cacheHierarchy uniqueName="[Table1_1].[Stock Levels]" caption="Stock Levels" attribute="1" defaultMemberUniqueName="[Table1_1].[Stock Levels].[All]" allUniqueName="[Table1_1].[Stock Levels].[All]" dimensionUniqueName="[Table1_1]" displayFolder="" count="0" memberValueDatatype="20" unbalanced="0"/>
    <cacheHierarchy uniqueName="[Table1_1].[Lead Times]" caption="Lead Times" attribute="1" defaultMemberUniqueName="[Table1_1].[Lead Times].[All]" allUniqueName="[Table1_1].[Lead Times].[All]" dimensionUniqueName="[Table1_1]" displayFolder="" count="0" memberValueDatatype="20" unbalanced="0"/>
    <cacheHierarchy uniqueName="[Table1_1].[Order Quantities]" caption="Order Quantities" attribute="1" defaultMemberUniqueName="[Table1_1].[Order Quantities].[All]" allUniqueName="[Table1_1].[Order Quantities].[All]" dimensionUniqueName="[Table1_1]" displayFolder="" count="0" memberValueDatatype="20" unbalanced="0"/>
    <cacheHierarchy uniqueName="[Table1_1].[Shipping Times]" caption="Shipping Times" attribute="1" defaultMemberUniqueName="[Table1_1].[Shipping Times].[All]" allUniqueName="[Table1_1].[Shipping Times].[All]" dimensionUniqueName="[Table1_1]" displayFolder="" count="0" memberValueDatatype="20" unbalanced="0"/>
    <cacheHierarchy uniqueName="[Table1_1].[Shipping Carriers]" caption="Shipping Carriers" attribute="1" defaultMemberUniqueName="[Table1_1].[Shipping Carriers].[All]" allUniqueName="[Table1_1].[Shipping Carriers].[All]" dimensionUniqueName="[Table1_1]" displayFolder="" count="0" memberValueDatatype="130" unbalanced="0"/>
    <cacheHierarchy uniqueName="[Table1_1].[Shipping Costs]" caption="Shipping Costs" attribute="1" defaultMemberUniqueName="[Table1_1].[Shipping Costs].[All]" allUniqueName="[Table1_1].[Shipping Costs].[All]" dimensionUniqueName="[Table1_1]" displayFolder="" count="0" memberValueDatatype="5" unbalanced="0"/>
    <cacheHierarchy uniqueName="[Table1_1].[Supplier Name]" caption="Supplier Name" attribute="1" defaultMemberUniqueName="[Table1_1].[Supplier Name].[All]" allUniqueName="[Table1_1].[Supplier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2" memberValueDatatype="130" unbalanced="0"/>
    <cacheHierarchy uniqueName="[Table1_1].[Lead Time]" caption="Lead Time" attribute="1" defaultMemberUniqueName="[Table1_1].[Lead Time].[All]" allUniqueName="[Table1_1].[Lead Time].[All]" dimensionUniqueName="[Table1_1]" displayFolder="" count="0" memberValueDatatype="20" unbalanced="0"/>
    <cacheHierarchy uniqueName="[Table1_1].[Production Volumes]" caption="Production Volumes" attribute="1" defaultMemberUniqueName="[Table1_1].[Production Volumes].[All]" allUniqueName="[Table1_1].[Production Volumes].[All]" dimensionUniqueName="[Table1_1]" displayFolder="" count="0" memberValueDatatype="20" unbalanced="0"/>
    <cacheHierarchy uniqueName="[Table1_1].[Manufacturing Lead Time]" caption="Manufacturing Lead Time" attribute="1" defaultMemberUniqueName="[Table1_1].[Manufacturing Lead Time].[All]" allUniqueName="[Table1_1].[Manufacturing Lead Time].[All]" dimensionUniqueName="[Table1_1]" displayFolder="" count="0" memberValueDatatype="20" unbalanced="0"/>
    <cacheHierarchy uniqueName="[Table1_1].[Manufacturing Costs]" caption="Manufacturing Costs" attribute="1" defaultMemberUniqueName="[Table1_1].[Manufacturing Costs].[All]" allUniqueName="[Table1_1].[Manufacturing Costs].[All]" dimensionUniqueName="[Table1_1]" displayFolder="" count="0" memberValueDatatype="5" unbalanced="0"/>
    <cacheHierarchy uniqueName="[Table1_1].[Inspection Results]" caption="Inspection Results" attribute="1" defaultMemberUniqueName="[Table1_1].[Inspection Results].[All]" allUniqueName="[Table1_1].[Inspection Results].[All]" dimensionUniqueName="[Table1_1]" displayFolder="" count="0" memberValueDatatype="130" unbalanced="0"/>
    <cacheHierarchy uniqueName="[Table1_1].[Defect Rates]" caption="Defect Rates" attribute="1" defaultMemberUniqueName="[Table1_1].[Defect Rates].[All]" allUniqueName="[Table1_1].[Defect Rates].[All]" dimensionUniqueName="[Table1_1]" displayFolder="" count="0" memberValueDatatype="5" unbalanced="0"/>
    <cacheHierarchy uniqueName="[Table1_1].[Transportation Modes]" caption="Transportation Modes" attribute="1" defaultMemberUniqueName="[Table1_1].[Transportation Modes].[All]" allUniqueName="[Table1_1].[Transportation Modes].[All]" dimensionUniqueName="[Table1_1]" displayFolder="" count="0" memberValueDatatype="130" unbalanced="0"/>
    <cacheHierarchy uniqueName="[Table1_1].[Routes]" caption="Routes" attribute="1" defaultMemberUniqueName="[Table1_1].[Routes].[All]" allUniqueName="[Table1_1].[Routes].[All]" dimensionUniqueName="[Table1_1]" displayFolder="" count="0" memberValueDatatype="130" unbalanced="0"/>
    <cacheHierarchy uniqueName="[Table1_1].[Costs]" caption="Costs" attribute="1" defaultMemberUniqueName="[Table1_1].[Costs].[All]" allUniqueName="[Table1_1].[Costs].[All]" dimensionUniqueName="[Table1_1]" displayFolder="" count="0" memberValueDatatype="5" unbalanced="0"/>
    <cacheHierarchy uniqueName="[Table1_1].[COGS]" caption="COGS" attribute="1" defaultMemberUniqueName="[Table1_1].[COGS].[All]" allUniqueName="[Table1_1].[COGS].[All]" dimensionUniqueName="[Table1_1]" displayFolder="" count="0" memberValueDatatype="5" unbalanced="0"/>
    <cacheHierarchy uniqueName="[Table1_1].[Gross Profit]" caption="Gross Profit" attribute="1" defaultMemberUniqueName="[Table1_1].[Gross Profit].[All]" allUniqueName="[Table1_1].[Gross Profit].[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Revenue Generated]" caption="Sum of Revenue Generated" measure="1" displayFolder="" measureGroup="Table1_1" count="0" hidden="1">
      <extLst>
        <ext xmlns:x15="http://schemas.microsoft.com/office/spreadsheetml/2010/11/main" uri="{B97F6D7D-B522-45F9-BDA1-12C45D357490}">
          <x15:cacheHierarchy aggregatedColumn="6"/>
        </ext>
      </extLst>
    </cacheHierarchy>
    <cacheHierarchy uniqueName="[Measures].[Sum of Number Of Products Sold]" caption="Sum of Number Of Products Sold" measure="1" displayFolder="" measureGroup="Table1_1" count="0" hidden="1">
      <extLst>
        <ext xmlns:x15="http://schemas.microsoft.com/office/spreadsheetml/2010/11/main" uri="{B97F6D7D-B522-45F9-BDA1-12C45D357490}">
          <x15:cacheHierarchy aggregatedColumn="5"/>
        </ext>
      </extLst>
    </cacheHierarchy>
    <cacheHierarchy uniqueName="[Measures].[Sum of Gross Profit]" caption="Sum of Gross Profit" measure="1" displayFolder="" measureGroup="Table1_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OGS]" caption="Sum of COGS" measure="1" displayFolder="" measureGroup="Table1_1"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Table1_1" count="0" hidden="1">
      <extLst>
        <ext xmlns:x15="http://schemas.microsoft.com/office/spreadsheetml/2010/11/main" uri="{B97F6D7D-B522-45F9-BDA1-12C45D357490}">
          <x15:cacheHierarchy aggregatedColumn="11"/>
        </ext>
      </extLst>
    </cacheHierarchy>
    <cacheHierarchy uniqueName="[Measures].[Sum of Shipping Costs]" caption="Sum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Sum of Lead Times]" caption="Sum of Lead Times" measure="1" displayFolder="" measureGroup="Table1_1" count="0" hidden="1">
      <extLst>
        <ext xmlns:x15="http://schemas.microsoft.com/office/spreadsheetml/2010/11/main" uri="{B97F6D7D-B522-45F9-BDA1-12C45D357490}">
          <x15:cacheHierarchy aggregatedColumn="9"/>
        </ext>
      </extLst>
    </cacheHierarchy>
    <cacheHierarchy uniqueName="[Measures].[Sum of Lead Time]" caption="Sum of Lead Time" measure="1" displayFolder="" measureGroup="Table1_1" count="0" hidden="1">
      <extLst>
        <ext xmlns:x15="http://schemas.microsoft.com/office/spreadsheetml/2010/11/main" uri="{B97F6D7D-B522-45F9-BDA1-12C45D357490}">
          <x15:cacheHierarchy aggregatedColumn="16"/>
        </ext>
      </extLst>
    </cacheHierarchy>
    <cacheHierarchy uniqueName="[Measures].[Average of Shipping Costs]" caption="Average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Count of Inventory Turnover]" caption="Count of Inventory Turnover" measure="1" displayFolder="" measureGroup="Table1_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son Dede" refreshedDate="46080.230894328706" backgroundQuery="1" createdVersion="8" refreshedVersion="8" minRefreshableVersion="3" recordCount="0" supportSubquery="1" supportAdvancedDrill="1" xr:uid="{465E52FB-5309-48E6-B5BF-3FEA78011D6B}">
  <cacheSource type="external" connectionId="3"/>
  <cacheFields count="4">
    <cacheField name="[Table1_1].[SKU].[SKU]" caption="SKU" numFmtId="0" hierarchy="1" level="1">
      <sharedItems count="10">
        <s v="SKU18"/>
        <s v="SKU2"/>
        <s v="SKU31"/>
        <s v="SKU32"/>
        <s v="SKU38"/>
        <s v="SKU51"/>
        <s v="SKU52"/>
        <s v="SKU67"/>
        <s v="SKU88"/>
        <s v="SKU90"/>
      </sharedItems>
    </cacheField>
    <cacheField name="[Table1_1].[Transportation Modes].[Transportation Modes]" caption="Transportation Modes" numFmtId="0" hierarchy="22" level="1">
      <sharedItems count="4">
        <s v="Air"/>
        <s v="Rail"/>
        <s v="Road"/>
        <s v="Sea"/>
      </sharedItems>
    </cacheField>
    <cacheField name="[Measures].[Sum of Shipping Times]" caption="Sum of Shipping Times" numFmtId="0" hierarchy="33" level="32767"/>
    <cacheField name="[Table1_1].[Customer Demographics].[Customer Demographics]" caption="Customer Demographics" numFmtId="0" hierarchy="7" level="1">
      <sharedItems containsSemiMixedTypes="0" containsNonDate="0" containsString="0"/>
    </cacheField>
  </cacheFields>
  <cacheHierarchies count="39">
    <cacheHierarchy uniqueName="[Table1_1].[Product Type]" caption="Product Type" attribute="1" defaultMemberUniqueName="[Table1_1].[Product Type].[All]" allUniqueName="[Table1_1].[Product Type].[All]" dimensionUniqueName="[Table1_1]" displayFolder="" count="0" memberValueDatatype="130" unbalanced="0"/>
    <cacheHierarchy uniqueName="[Table1_1].[SKU]" caption="SKU" attribute="1" defaultMemberUniqueName="[Table1_1].[SKU].[All]" allUniqueName="[Table1_1].[SKU].[All]" dimensionUniqueName="[Table1_1]" displayFolder="" count="2" memberValueDatatype="130" unbalanced="0">
      <fieldsUsage count="2">
        <fieldUsage x="-1"/>
        <fieldUsage x="0"/>
      </fieldsUsage>
    </cacheHierarchy>
    <cacheHierarchy uniqueName="[Table1_1].[Inventory Turnover]" caption="Inventory Turnover" attribute="1" defaultMemberUniqueName="[Table1_1].[Inventory Turnover].[All]" allUniqueName="[Table1_1].[Inventory Turnover].[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Availability]" caption="Availability" attribute="1" defaultMemberUniqueName="[Table1_1].[Availability].[All]" allUniqueName="[Table1_1].[Availability].[All]" dimensionUniqueName="[Table1_1]" displayFolder="" count="0" memberValueDatatype="20" unbalanced="0"/>
    <cacheHierarchy uniqueName="[Table1_1].[Number Of Products Sold]" caption="Number Of Products Sold" attribute="1" defaultMemberUniqueName="[Table1_1].[Number Of Products Sold].[All]" allUniqueName="[Table1_1].[Number Of Products Sold].[All]" dimensionUniqueName="[Table1_1]" displayFolder="" count="0" memberValueDatatype="20" unbalanced="0"/>
    <cacheHierarchy uniqueName="[Table1_1].[Revenue Generated]" caption="Revenue Generated" attribute="1" defaultMemberUniqueName="[Table1_1].[Revenue Generated].[All]" allUniqueName="[Table1_1].[Revenue Generated].[All]" dimensionUniqueName="[Table1_1]" displayFolder="" count="0" memberValueDatatype="5" unbalanced="0"/>
    <cacheHierarchy uniqueName="[Table1_1].[Customer Demographics]" caption="Customer Demographics" attribute="1" defaultMemberUniqueName="[Table1_1].[Customer Demographics].[All]" allUniqueName="[Table1_1].[Customer Demographics].[All]" dimensionUniqueName="[Table1_1]" displayFolder="" count="2" memberValueDatatype="130" unbalanced="0">
      <fieldsUsage count="2">
        <fieldUsage x="-1"/>
        <fieldUsage x="3"/>
      </fieldsUsage>
    </cacheHierarchy>
    <cacheHierarchy uniqueName="[Table1_1].[Stock Levels]" caption="Stock Levels" attribute="1" defaultMemberUniqueName="[Table1_1].[Stock Levels].[All]" allUniqueName="[Table1_1].[Stock Levels].[All]" dimensionUniqueName="[Table1_1]" displayFolder="" count="0" memberValueDatatype="20" unbalanced="0"/>
    <cacheHierarchy uniqueName="[Table1_1].[Lead Times]" caption="Lead Times" attribute="1" defaultMemberUniqueName="[Table1_1].[Lead Times].[All]" allUniqueName="[Table1_1].[Lead Times].[All]" dimensionUniqueName="[Table1_1]" displayFolder="" count="0" memberValueDatatype="20" unbalanced="0"/>
    <cacheHierarchy uniqueName="[Table1_1].[Order Quantities]" caption="Order Quantities" attribute="1" defaultMemberUniqueName="[Table1_1].[Order Quantities].[All]" allUniqueName="[Table1_1].[Order Quantities].[All]" dimensionUniqueName="[Table1_1]" displayFolder="" count="0" memberValueDatatype="20" unbalanced="0"/>
    <cacheHierarchy uniqueName="[Table1_1].[Shipping Times]" caption="Shipping Times" attribute="1" defaultMemberUniqueName="[Table1_1].[Shipping Times].[All]" allUniqueName="[Table1_1].[Shipping Times].[All]" dimensionUniqueName="[Table1_1]" displayFolder="" count="0" memberValueDatatype="20" unbalanced="0"/>
    <cacheHierarchy uniqueName="[Table1_1].[Shipping Carriers]" caption="Shipping Carriers" attribute="1" defaultMemberUniqueName="[Table1_1].[Shipping Carriers].[All]" allUniqueName="[Table1_1].[Shipping Carriers].[All]" dimensionUniqueName="[Table1_1]" displayFolder="" count="0" memberValueDatatype="130" unbalanced="0"/>
    <cacheHierarchy uniqueName="[Table1_1].[Shipping Costs]" caption="Shipping Costs" attribute="1" defaultMemberUniqueName="[Table1_1].[Shipping Costs].[All]" allUniqueName="[Table1_1].[Shipping Costs].[All]" dimensionUniqueName="[Table1_1]" displayFolder="" count="0" memberValueDatatype="5" unbalanced="0"/>
    <cacheHierarchy uniqueName="[Table1_1].[Supplier Name]" caption="Supplier Name" attribute="1" defaultMemberUniqueName="[Table1_1].[Supplier Name].[All]" allUniqueName="[Table1_1].[Supplier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2" memberValueDatatype="130" unbalanced="0"/>
    <cacheHierarchy uniqueName="[Table1_1].[Lead Time]" caption="Lead Time" attribute="1" defaultMemberUniqueName="[Table1_1].[Lead Time].[All]" allUniqueName="[Table1_1].[Lead Time].[All]" dimensionUniqueName="[Table1_1]" displayFolder="" count="0" memberValueDatatype="20" unbalanced="0"/>
    <cacheHierarchy uniqueName="[Table1_1].[Production Volumes]" caption="Production Volumes" attribute="1" defaultMemberUniqueName="[Table1_1].[Production Volumes].[All]" allUniqueName="[Table1_1].[Production Volumes].[All]" dimensionUniqueName="[Table1_1]" displayFolder="" count="0" memberValueDatatype="20" unbalanced="0"/>
    <cacheHierarchy uniqueName="[Table1_1].[Manufacturing Lead Time]" caption="Manufacturing Lead Time" attribute="1" defaultMemberUniqueName="[Table1_1].[Manufacturing Lead Time].[All]" allUniqueName="[Table1_1].[Manufacturing Lead Time].[All]" dimensionUniqueName="[Table1_1]" displayFolder="" count="0" memberValueDatatype="20" unbalanced="0"/>
    <cacheHierarchy uniqueName="[Table1_1].[Manufacturing Costs]" caption="Manufacturing Costs" attribute="1" defaultMemberUniqueName="[Table1_1].[Manufacturing Costs].[All]" allUniqueName="[Table1_1].[Manufacturing Costs].[All]" dimensionUniqueName="[Table1_1]" displayFolder="" count="0" memberValueDatatype="5" unbalanced="0"/>
    <cacheHierarchy uniqueName="[Table1_1].[Inspection Results]" caption="Inspection Results" attribute="1" defaultMemberUniqueName="[Table1_1].[Inspection Results].[All]" allUniqueName="[Table1_1].[Inspection Results].[All]" dimensionUniqueName="[Table1_1]" displayFolder="" count="0" memberValueDatatype="130" unbalanced="0"/>
    <cacheHierarchy uniqueName="[Table1_1].[Defect Rates]" caption="Defect Rates" attribute="1" defaultMemberUniqueName="[Table1_1].[Defect Rates].[All]" allUniqueName="[Table1_1].[Defect Rates].[All]" dimensionUniqueName="[Table1_1]" displayFolder="" count="0" memberValueDatatype="5" unbalanced="0"/>
    <cacheHierarchy uniqueName="[Table1_1].[Transportation Modes]" caption="Transportation Modes" attribute="1" defaultMemberUniqueName="[Table1_1].[Transportation Modes].[All]" allUniqueName="[Table1_1].[Transportation Modes].[All]" dimensionUniqueName="[Table1_1]" displayFolder="" count="2" memberValueDatatype="130" unbalanced="0">
      <fieldsUsage count="2">
        <fieldUsage x="-1"/>
        <fieldUsage x="1"/>
      </fieldsUsage>
    </cacheHierarchy>
    <cacheHierarchy uniqueName="[Table1_1].[Routes]" caption="Routes" attribute="1" defaultMemberUniqueName="[Table1_1].[Routes].[All]" allUniqueName="[Table1_1].[Routes].[All]" dimensionUniqueName="[Table1_1]" displayFolder="" count="0" memberValueDatatype="130" unbalanced="0"/>
    <cacheHierarchy uniqueName="[Table1_1].[Costs]" caption="Costs" attribute="1" defaultMemberUniqueName="[Table1_1].[Costs].[All]" allUniqueName="[Table1_1].[Costs].[All]" dimensionUniqueName="[Table1_1]" displayFolder="" count="0" memberValueDatatype="5" unbalanced="0"/>
    <cacheHierarchy uniqueName="[Table1_1].[COGS]" caption="COGS" attribute="1" defaultMemberUniqueName="[Table1_1].[COGS].[All]" allUniqueName="[Table1_1].[COGS].[All]" dimensionUniqueName="[Table1_1]" displayFolder="" count="0" memberValueDatatype="5" unbalanced="0"/>
    <cacheHierarchy uniqueName="[Table1_1].[Gross Profit]" caption="Gross Profit" attribute="1" defaultMemberUniqueName="[Table1_1].[Gross Profit].[All]" allUniqueName="[Table1_1].[Gross Profit].[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Revenue Generated]" caption="Sum of Revenue Generated" measure="1" displayFolder="" measureGroup="Table1_1" count="0" hidden="1">
      <extLst>
        <ext xmlns:x15="http://schemas.microsoft.com/office/spreadsheetml/2010/11/main" uri="{B97F6D7D-B522-45F9-BDA1-12C45D357490}">
          <x15:cacheHierarchy aggregatedColumn="6"/>
        </ext>
      </extLst>
    </cacheHierarchy>
    <cacheHierarchy uniqueName="[Measures].[Sum of Number Of Products Sold]" caption="Sum of Number Of Products Sold" measure="1" displayFolder="" measureGroup="Table1_1" count="0" hidden="1">
      <extLst>
        <ext xmlns:x15="http://schemas.microsoft.com/office/spreadsheetml/2010/11/main" uri="{B97F6D7D-B522-45F9-BDA1-12C45D357490}">
          <x15:cacheHierarchy aggregatedColumn="5"/>
        </ext>
      </extLst>
    </cacheHierarchy>
    <cacheHierarchy uniqueName="[Measures].[Sum of Gross Profit]" caption="Sum of Gross Profit" measure="1" displayFolder="" measureGroup="Table1_1" count="0" hidden="1">
      <extLst>
        <ext xmlns:x15="http://schemas.microsoft.com/office/spreadsheetml/2010/11/main" uri="{B97F6D7D-B522-45F9-BDA1-12C45D357490}">
          <x15:cacheHierarchy aggregatedColumn="26"/>
        </ext>
      </extLst>
    </cacheHierarchy>
    <cacheHierarchy uniqueName="[Measures].[Sum of COGS]" caption="Sum of COGS" measure="1" displayFolder="" measureGroup="Table1_1"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Table1_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Shipping Costs]" caption="Sum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Sum of Lead Times]" caption="Sum of Lead Times" measure="1" displayFolder="" measureGroup="Table1_1" count="0" hidden="1">
      <extLst>
        <ext xmlns:x15="http://schemas.microsoft.com/office/spreadsheetml/2010/11/main" uri="{B97F6D7D-B522-45F9-BDA1-12C45D357490}">
          <x15:cacheHierarchy aggregatedColumn="9"/>
        </ext>
      </extLst>
    </cacheHierarchy>
    <cacheHierarchy uniqueName="[Measures].[Sum of Lead Time]" caption="Sum of Lead Time" measure="1" displayFolder="" measureGroup="Table1_1" count="0" hidden="1">
      <extLst>
        <ext xmlns:x15="http://schemas.microsoft.com/office/spreadsheetml/2010/11/main" uri="{B97F6D7D-B522-45F9-BDA1-12C45D357490}">
          <x15:cacheHierarchy aggregatedColumn="16"/>
        </ext>
      </extLst>
    </cacheHierarchy>
    <cacheHierarchy uniqueName="[Measures].[Average of Shipping Costs]" caption="Average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Count of Inventory Turnover]" caption="Count of Inventory Turnover" measure="1" displayFolder="" measureGroup="Table1_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son Dede" refreshedDate="46080.230895023145" backgroundQuery="1" createdVersion="8" refreshedVersion="8" minRefreshableVersion="3" recordCount="0" supportSubquery="1" supportAdvancedDrill="1" xr:uid="{39E7A6C9-5208-49A9-9986-21B2219E4829}">
  <cacheSource type="external" connectionId="3"/>
  <cacheFields count="4">
    <cacheField name="[Table1_1].[SKU].[SKU]" caption="SKU" numFmtId="0" hierarchy="1" level="1">
      <sharedItems count="10">
        <s v="SKU18"/>
        <s v="SKU2"/>
        <s v="SKU31"/>
        <s v="SKU32"/>
        <s v="SKU38"/>
        <s v="SKU51"/>
        <s v="SKU52"/>
        <s v="SKU67"/>
        <s v="SKU88"/>
        <s v="SKU90"/>
      </sharedItems>
    </cacheField>
    <cacheField name="[Measures].[Count of Inventory Turnover]" caption="Count of Inventory Turnover" numFmtId="0" hierarchy="38" level="32767"/>
    <cacheField name="[Table1_1].[Product Type].[Product Type]" caption="Product Type" numFmtId="0" level="1">
      <sharedItems count="3">
        <s v="Cosmetics"/>
        <s v="Haircare"/>
        <s v="Skincare"/>
      </sharedItems>
    </cacheField>
    <cacheField name="[Table1_1].[Customer Demographics].[Customer Demographics]" caption="Customer Demographics" numFmtId="0" hierarchy="7" level="1">
      <sharedItems containsSemiMixedTypes="0" containsNonDate="0" containsString="0"/>
    </cacheField>
  </cacheFields>
  <cacheHierarchies count="39">
    <cacheHierarchy uniqueName="[Table1_1].[Product Type]" caption="Product Type" attribute="1" defaultMemberUniqueName="[Table1_1].[Product Type].[All]" allUniqueName="[Table1_1].[Product Type].[All]" dimensionUniqueName="[Table1_1]" displayFolder="" count="2" memberValueDatatype="130" unbalanced="0">
      <fieldsUsage count="2">
        <fieldUsage x="-1"/>
        <fieldUsage x="2"/>
      </fieldsUsage>
    </cacheHierarchy>
    <cacheHierarchy uniqueName="[Table1_1].[SKU]" caption="SKU" attribute="1" defaultMemberUniqueName="[Table1_1].[SKU].[All]" allUniqueName="[Table1_1].[SKU].[All]" dimensionUniqueName="[Table1_1]" displayFolder="" count="2" memberValueDatatype="130" unbalanced="0">
      <fieldsUsage count="2">
        <fieldUsage x="-1"/>
        <fieldUsage x="0"/>
      </fieldsUsage>
    </cacheHierarchy>
    <cacheHierarchy uniqueName="[Table1_1].[Inventory Turnover]" caption="Inventory Turnover" attribute="1" defaultMemberUniqueName="[Table1_1].[Inventory Turnover].[All]" allUniqueName="[Table1_1].[Inventory Turnover].[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Availability]" caption="Availability" attribute="1" defaultMemberUniqueName="[Table1_1].[Availability].[All]" allUniqueName="[Table1_1].[Availability].[All]" dimensionUniqueName="[Table1_1]" displayFolder="" count="0" memberValueDatatype="20" unbalanced="0"/>
    <cacheHierarchy uniqueName="[Table1_1].[Number Of Products Sold]" caption="Number Of Products Sold" attribute="1" defaultMemberUniqueName="[Table1_1].[Number Of Products Sold].[All]" allUniqueName="[Table1_1].[Number Of Products Sold].[All]" dimensionUniqueName="[Table1_1]" displayFolder="" count="0" memberValueDatatype="20" unbalanced="0"/>
    <cacheHierarchy uniqueName="[Table1_1].[Revenue Generated]" caption="Revenue Generated" attribute="1" defaultMemberUniqueName="[Table1_1].[Revenue Generated].[All]" allUniqueName="[Table1_1].[Revenue Generated].[All]" dimensionUniqueName="[Table1_1]" displayFolder="" count="0" memberValueDatatype="5" unbalanced="0"/>
    <cacheHierarchy uniqueName="[Table1_1].[Customer Demographics]" caption="Customer Demographics" attribute="1" defaultMemberUniqueName="[Table1_1].[Customer Demographics].[All]" allUniqueName="[Table1_1].[Customer Demographics].[All]" dimensionUniqueName="[Table1_1]" displayFolder="" count="2" memberValueDatatype="130" unbalanced="0">
      <fieldsUsage count="2">
        <fieldUsage x="-1"/>
        <fieldUsage x="3"/>
      </fieldsUsage>
    </cacheHierarchy>
    <cacheHierarchy uniqueName="[Table1_1].[Stock Levels]" caption="Stock Levels" attribute="1" defaultMemberUniqueName="[Table1_1].[Stock Levels].[All]" allUniqueName="[Table1_1].[Stock Levels].[All]" dimensionUniqueName="[Table1_1]" displayFolder="" count="0" memberValueDatatype="20" unbalanced="0"/>
    <cacheHierarchy uniqueName="[Table1_1].[Lead Times]" caption="Lead Times" attribute="1" defaultMemberUniqueName="[Table1_1].[Lead Times].[All]" allUniqueName="[Table1_1].[Lead Times].[All]" dimensionUniqueName="[Table1_1]" displayFolder="" count="0" memberValueDatatype="20" unbalanced="0"/>
    <cacheHierarchy uniqueName="[Table1_1].[Order Quantities]" caption="Order Quantities" attribute="1" defaultMemberUniqueName="[Table1_1].[Order Quantities].[All]" allUniqueName="[Table1_1].[Order Quantities].[All]" dimensionUniqueName="[Table1_1]" displayFolder="" count="0" memberValueDatatype="20" unbalanced="0"/>
    <cacheHierarchy uniqueName="[Table1_1].[Shipping Times]" caption="Shipping Times" attribute="1" defaultMemberUniqueName="[Table1_1].[Shipping Times].[All]" allUniqueName="[Table1_1].[Shipping Times].[All]" dimensionUniqueName="[Table1_1]" displayFolder="" count="0" memberValueDatatype="20" unbalanced="0"/>
    <cacheHierarchy uniqueName="[Table1_1].[Shipping Carriers]" caption="Shipping Carriers" attribute="1" defaultMemberUniqueName="[Table1_1].[Shipping Carriers].[All]" allUniqueName="[Table1_1].[Shipping Carriers].[All]" dimensionUniqueName="[Table1_1]" displayFolder="" count="0" memberValueDatatype="130" unbalanced="0"/>
    <cacheHierarchy uniqueName="[Table1_1].[Shipping Costs]" caption="Shipping Costs" attribute="1" defaultMemberUniqueName="[Table1_1].[Shipping Costs].[All]" allUniqueName="[Table1_1].[Shipping Costs].[All]" dimensionUniqueName="[Table1_1]" displayFolder="" count="0" memberValueDatatype="5" unbalanced="0"/>
    <cacheHierarchy uniqueName="[Table1_1].[Supplier Name]" caption="Supplier Name" attribute="1" defaultMemberUniqueName="[Table1_1].[Supplier Name].[All]" allUniqueName="[Table1_1].[Supplier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2" memberValueDatatype="130" unbalanced="0"/>
    <cacheHierarchy uniqueName="[Table1_1].[Lead Time]" caption="Lead Time" attribute="1" defaultMemberUniqueName="[Table1_1].[Lead Time].[All]" allUniqueName="[Table1_1].[Lead Time].[All]" dimensionUniqueName="[Table1_1]" displayFolder="" count="0" memberValueDatatype="20" unbalanced="0"/>
    <cacheHierarchy uniqueName="[Table1_1].[Production Volumes]" caption="Production Volumes" attribute="1" defaultMemberUniqueName="[Table1_1].[Production Volumes].[All]" allUniqueName="[Table1_1].[Production Volumes].[All]" dimensionUniqueName="[Table1_1]" displayFolder="" count="0" memberValueDatatype="20" unbalanced="0"/>
    <cacheHierarchy uniqueName="[Table1_1].[Manufacturing Lead Time]" caption="Manufacturing Lead Time" attribute="1" defaultMemberUniqueName="[Table1_1].[Manufacturing Lead Time].[All]" allUniqueName="[Table1_1].[Manufacturing Lead Time].[All]" dimensionUniqueName="[Table1_1]" displayFolder="" count="0" memberValueDatatype="20" unbalanced="0"/>
    <cacheHierarchy uniqueName="[Table1_1].[Manufacturing Costs]" caption="Manufacturing Costs" attribute="1" defaultMemberUniqueName="[Table1_1].[Manufacturing Costs].[All]" allUniqueName="[Table1_1].[Manufacturing Costs].[All]" dimensionUniqueName="[Table1_1]" displayFolder="" count="0" memberValueDatatype="5" unbalanced="0"/>
    <cacheHierarchy uniqueName="[Table1_1].[Inspection Results]" caption="Inspection Results" attribute="1" defaultMemberUniqueName="[Table1_1].[Inspection Results].[All]" allUniqueName="[Table1_1].[Inspection Results].[All]" dimensionUniqueName="[Table1_1]" displayFolder="" count="0" memberValueDatatype="130" unbalanced="0"/>
    <cacheHierarchy uniqueName="[Table1_1].[Defect Rates]" caption="Defect Rates" attribute="1" defaultMemberUniqueName="[Table1_1].[Defect Rates].[All]" allUniqueName="[Table1_1].[Defect Rates].[All]" dimensionUniqueName="[Table1_1]" displayFolder="" count="0" memberValueDatatype="5" unbalanced="0"/>
    <cacheHierarchy uniqueName="[Table1_1].[Transportation Modes]" caption="Transportation Modes" attribute="1" defaultMemberUniqueName="[Table1_1].[Transportation Modes].[All]" allUniqueName="[Table1_1].[Transportation Modes].[All]" dimensionUniqueName="[Table1_1]" displayFolder="" count="0" memberValueDatatype="130" unbalanced="0"/>
    <cacheHierarchy uniqueName="[Table1_1].[Routes]" caption="Routes" attribute="1" defaultMemberUniqueName="[Table1_1].[Routes].[All]" allUniqueName="[Table1_1].[Routes].[All]" dimensionUniqueName="[Table1_1]" displayFolder="" count="0" memberValueDatatype="130" unbalanced="0"/>
    <cacheHierarchy uniqueName="[Table1_1].[Costs]" caption="Costs" attribute="1" defaultMemberUniqueName="[Table1_1].[Costs].[All]" allUniqueName="[Table1_1].[Costs].[All]" dimensionUniqueName="[Table1_1]" displayFolder="" count="0" memberValueDatatype="5" unbalanced="0"/>
    <cacheHierarchy uniqueName="[Table1_1].[COGS]" caption="COGS" attribute="1" defaultMemberUniqueName="[Table1_1].[COGS].[All]" allUniqueName="[Table1_1].[COGS].[All]" dimensionUniqueName="[Table1_1]" displayFolder="" count="0" memberValueDatatype="5" unbalanced="0"/>
    <cacheHierarchy uniqueName="[Table1_1].[Gross Profit]" caption="Gross Profit" attribute="1" defaultMemberUniqueName="[Table1_1].[Gross Profit].[All]" allUniqueName="[Table1_1].[Gross Profit].[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Revenue Generated]" caption="Sum of Revenue Generated" measure="1" displayFolder="" measureGroup="Table1_1" count="0" hidden="1">
      <extLst>
        <ext xmlns:x15="http://schemas.microsoft.com/office/spreadsheetml/2010/11/main" uri="{B97F6D7D-B522-45F9-BDA1-12C45D357490}">
          <x15:cacheHierarchy aggregatedColumn="6"/>
        </ext>
      </extLst>
    </cacheHierarchy>
    <cacheHierarchy uniqueName="[Measures].[Sum of Number Of Products Sold]" caption="Sum of Number Of Products Sold" measure="1" displayFolder="" measureGroup="Table1_1" count="0" hidden="1">
      <extLst>
        <ext xmlns:x15="http://schemas.microsoft.com/office/spreadsheetml/2010/11/main" uri="{B97F6D7D-B522-45F9-BDA1-12C45D357490}">
          <x15:cacheHierarchy aggregatedColumn="5"/>
        </ext>
      </extLst>
    </cacheHierarchy>
    <cacheHierarchy uniqueName="[Measures].[Sum of Gross Profit]" caption="Sum of Gross Profit" measure="1" displayFolder="" measureGroup="Table1_1" count="0" hidden="1">
      <extLst>
        <ext xmlns:x15="http://schemas.microsoft.com/office/spreadsheetml/2010/11/main" uri="{B97F6D7D-B522-45F9-BDA1-12C45D357490}">
          <x15:cacheHierarchy aggregatedColumn="26"/>
        </ext>
      </extLst>
    </cacheHierarchy>
    <cacheHierarchy uniqueName="[Measures].[Sum of COGS]" caption="Sum of COGS" measure="1" displayFolder="" measureGroup="Table1_1"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Table1_1" count="0" hidden="1">
      <extLst>
        <ext xmlns:x15="http://schemas.microsoft.com/office/spreadsheetml/2010/11/main" uri="{B97F6D7D-B522-45F9-BDA1-12C45D357490}">
          <x15:cacheHierarchy aggregatedColumn="11"/>
        </ext>
      </extLst>
    </cacheHierarchy>
    <cacheHierarchy uniqueName="[Measures].[Sum of Shipping Costs]" caption="Sum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Sum of Lead Times]" caption="Sum of Lead Times" measure="1" displayFolder="" measureGroup="Table1_1" count="0" hidden="1">
      <extLst>
        <ext xmlns:x15="http://schemas.microsoft.com/office/spreadsheetml/2010/11/main" uri="{B97F6D7D-B522-45F9-BDA1-12C45D357490}">
          <x15:cacheHierarchy aggregatedColumn="9"/>
        </ext>
      </extLst>
    </cacheHierarchy>
    <cacheHierarchy uniqueName="[Measures].[Sum of Lead Time]" caption="Sum of Lead Time" measure="1" displayFolder="" measureGroup="Table1_1" count="0" hidden="1">
      <extLst>
        <ext xmlns:x15="http://schemas.microsoft.com/office/spreadsheetml/2010/11/main" uri="{B97F6D7D-B522-45F9-BDA1-12C45D357490}">
          <x15:cacheHierarchy aggregatedColumn="16"/>
        </ext>
      </extLst>
    </cacheHierarchy>
    <cacheHierarchy uniqueName="[Measures].[Average of Shipping Costs]" caption="Average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Count of Inventory Turnover]" caption="Count of Inventory Turnover" measure="1" displayFolder="" measureGroup="Table1_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son Dede" refreshedDate="46080.230895949077" backgroundQuery="1" createdVersion="8" refreshedVersion="8" minRefreshableVersion="3" recordCount="0" supportSubquery="1" supportAdvancedDrill="1" xr:uid="{55170067-634A-4E5E-BC71-287C79559950}">
  <cacheSource type="external" connectionId="3"/>
  <cacheFields count="3">
    <cacheField name="[Table1_1].[Product Type].[Product Type]" caption="Product Type" numFmtId="0" level="1">
      <sharedItems count="3">
        <s v="Cosmetics"/>
        <s v="Haircare"/>
        <s v="Skincare"/>
      </sharedItems>
    </cacheField>
    <cacheField name="[Measures].[Sum of Number Of Products Sold]" caption="Sum of Number Of Products Sold" numFmtId="0" hierarchy="30" level="32767"/>
    <cacheField name="[Table1_1].[Customer Demographics].[Customer Demographics]" caption="Customer Demographics" numFmtId="0" hierarchy="7" level="1">
      <sharedItems containsSemiMixedTypes="0" containsNonDate="0" containsString="0"/>
    </cacheField>
  </cacheFields>
  <cacheHierarchies count="39">
    <cacheHierarchy uniqueName="[Table1_1].[Product Type]" caption="Product Type" attribute="1" defaultMemberUniqueName="[Table1_1].[Product Type].[All]" allUniqueName="[Table1_1].[Product Type].[All]" dimensionUniqueName="[Table1_1]" displayFolder="" count="2" memberValueDatatype="130" unbalanced="0">
      <fieldsUsage count="2">
        <fieldUsage x="-1"/>
        <fieldUsage x="0"/>
      </fieldsUsage>
    </cacheHierarchy>
    <cacheHierarchy uniqueName="[Table1_1].[SKU]" caption="SKU" attribute="1" defaultMemberUniqueName="[Table1_1].[SKU].[All]" allUniqueName="[Table1_1].[SKU].[All]" dimensionUniqueName="[Table1_1]" displayFolder="" count="0" memberValueDatatype="130" unbalanced="0"/>
    <cacheHierarchy uniqueName="[Table1_1].[Inventory Turnover]" caption="Inventory Turnover" attribute="1" defaultMemberUniqueName="[Table1_1].[Inventory Turnover].[All]" allUniqueName="[Table1_1].[Inventory Turnover].[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Availability]" caption="Availability" attribute="1" defaultMemberUniqueName="[Table1_1].[Availability].[All]" allUniqueName="[Table1_1].[Availability].[All]" dimensionUniqueName="[Table1_1]" displayFolder="" count="0" memberValueDatatype="20" unbalanced="0"/>
    <cacheHierarchy uniqueName="[Table1_1].[Number Of Products Sold]" caption="Number Of Products Sold" attribute="1" defaultMemberUniqueName="[Table1_1].[Number Of Products Sold].[All]" allUniqueName="[Table1_1].[Number Of Products Sold].[All]" dimensionUniqueName="[Table1_1]" displayFolder="" count="0" memberValueDatatype="20" unbalanced="0"/>
    <cacheHierarchy uniqueName="[Table1_1].[Revenue Generated]" caption="Revenue Generated" attribute="1" defaultMemberUniqueName="[Table1_1].[Revenue Generated].[All]" allUniqueName="[Table1_1].[Revenue Generated].[All]" dimensionUniqueName="[Table1_1]" displayFolder="" count="0" memberValueDatatype="5" unbalanced="0"/>
    <cacheHierarchy uniqueName="[Table1_1].[Customer Demographics]" caption="Customer Demographics" attribute="1" defaultMemberUniqueName="[Table1_1].[Customer Demographics].[All]" allUniqueName="[Table1_1].[Customer Demographics].[All]" dimensionUniqueName="[Table1_1]" displayFolder="" count="2" memberValueDatatype="130" unbalanced="0">
      <fieldsUsage count="2">
        <fieldUsage x="-1"/>
        <fieldUsage x="2"/>
      </fieldsUsage>
    </cacheHierarchy>
    <cacheHierarchy uniqueName="[Table1_1].[Stock Levels]" caption="Stock Levels" attribute="1" defaultMemberUniqueName="[Table1_1].[Stock Levels].[All]" allUniqueName="[Table1_1].[Stock Levels].[All]" dimensionUniqueName="[Table1_1]" displayFolder="" count="0" memberValueDatatype="20" unbalanced="0"/>
    <cacheHierarchy uniqueName="[Table1_1].[Lead Times]" caption="Lead Times" attribute="1" defaultMemberUniqueName="[Table1_1].[Lead Times].[All]" allUniqueName="[Table1_1].[Lead Times].[All]" dimensionUniqueName="[Table1_1]" displayFolder="" count="0" memberValueDatatype="20" unbalanced="0"/>
    <cacheHierarchy uniqueName="[Table1_1].[Order Quantities]" caption="Order Quantities" attribute="1" defaultMemberUniqueName="[Table1_1].[Order Quantities].[All]" allUniqueName="[Table1_1].[Order Quantities].[All]" dimensionUniqueName="[Table1_1]" displayFolder="" count="0" memberValueDatatype="20" unbalanced="0"/>
    <cacheHierarchy uniqueName="[Table1_1].[Shipping Times]" caption="Shipping Times" attribute="1" defaultMemberUniqueName="[Table1_1].[Shipping Times].[All]" allUniqueName="[Table1_1].[Shipping Times].[All]" dimensionUniqueName="[Table1_1]" displayFolder="" count="0" memberValueDatatype="20" unbalanced="0"/>
    <cacheHierarchy uniqueName="[Table1_1].[Shipping Carriers]" caption="Shipping Carriers" attribute="1" defaultMemberUniqueName="[Table1_1].[Shipping Carriers].[All]" allUniqueName="[Table1_1].[Shipping Carriers].[All]" dimensionUniqueName="[Table1_1]" displayFolder="" count="0" memberValueDatatype="130" unbalanced="0"/>
    <cacheHierarchy uniqueName="[Table1_1].[Shipping Costs]" caption="Shipping Costs" attribute="1" defaultMemberUniqueName="[Table1_1].[Shipping Costs].[All]" allUniqueName="[Table1_1].[Shipping Costs].[All]" dimensionUniqueName="[Table1_1]" displayFolder="" count="0" memberValueDatatype="5" unbalanced="0"/>
    <cacheHierarchy uniqueName="[Table1_1].[Supplier Name]" caption="Supplier Name" attribute="1" defaultMemberUniqueName="[Table1_1].[Supplier Name].[All]" allUniqueName="[Table1_1].[Supplier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2" memberValueDatatype="130" unbalanced="0"/>
    <cacheHierarchy uniqueName="[Table1_1].[Lead Time]" caption="Lead Time" attribute="1" defaultMemberUniqueName="[Table1_1].[Lead Time].[All]" allUniqueName="[Table1_1].[Lead Time].[All]" dimensionUniqueName="[Table1_1]" displayFolder="" count="0" memberValueDatatype="20" unbalanced="0"/>
    <cacheHierarchy uniqueName="[Table1_1].[Production Volumes]" caption="Production Volumes" attribute="1" defaultMemberUniqueName="[Table1_1].[Production Volumes].[All]" allUniqueName="[Table1_1].[Production Volumes].[All]" dimensionUniqueName="[Table1_1]" displayFolder="" count="0" memberValueDatatype="20" unbalanced="0"/>
    <cacheHierarchy uniqueName="[Table1_1].[Manufacturing Lead Time]" caption="Manufacturing Lead Time" attribute="1" defaultMemberUniqueName="[Table1_1].[Manufacturing Lead Time].[All]" allUniqueName="[Table1_1].[Manufacturing Lead Time].[All]" dimensionUniqueName="[Table1_1]" displayFolder="" count="0" memberValueDatatype="20" unbalanced="0"/>
    <cacheHierarchy uniqueName="[Table1_1].[Manufacturing Costs]" caption="Manufacturing Costs" attribute="1" defaultMemberUniqueName="[Table1_1].[Manufacturing Costs].[All]" allUniqueName="[Table1_1].[Manufacturing Costs].[All]" dimensionUniqueName="[Table1_1]" displayFolder="" count="0" memberValueDatatype="5" unbalanced="0"/>
    <cacheHierarchy uniqueName="[Table1_1].[Inspection Results]" caption="Inspection Results" attribute="1" defaultMemberUniqueName="[Table1_1].[Inspection Results].[All]" allUniqueName="[Table1_1].[Inspection Results].[All]" dimensionUniqueName="[Table1_1]" displayFolder="" count="0" memberValueDatatype="130" unbalanced="0"/>
    <cacheHierarchy uniqueName="[Table1_1].[Defect Rates]" caption="Defect Rates" attribute="1" defaultMemberUniqueName="[Table1_1].[Defect Rates].[All]" allUniqueName="[Table1_1].[Defect Rates].[All]" dimensionUniqueName="[Table1_1]" displayFolder="" count="0" memberValueDatatype="5" unbalanced="0"/>
    <cacheHierarchy uniqueName="[Table1_1].[Transportation Modes]" caption="Transportation Modes" attribute="1" defaultMemberUniqueName="[Table1_1].[Transportation Modes].[All]" allUniqueName="[Table1_1].[Transportation Modes].[All]" dimensionUniqueName="[Table1_1]" displayFolder="" count="0" memberValueDatatype="130" unbalanced="0"/>
    <cacheHierarchy uniqueName="[Table1_1].[Routes]" caption="Routes" attribute="1" defaultMemberUniqueName="[Table1_1].[Routes].[All]" allUniqueName="[Table1_1].[Routes].[All]" dimensionUniqueName="[Table1_1]" displayFolder="" count="0" memberValueDatatype="130" unbalanced="0"/>
    <cacheHierarchy uniqueName="[Table1_1].[Costs]" caption="Costs" attribute="1" defaultMemberUniqueName="[Table1_1].[Costs].[All]" allUniqueName="[Table1_1].[Costs].[All]" dimensionUniqueName="[Table1_1]" displayFolder="" count="0" memberValueDatatype="5" unbalanced="0"/>
    <cacheHierarchy uniqueName="[Table1_1].[COGS]" caption="COGS" attribute="1" defaultMemberUniqueName="[Table1_1].[COGS].[All]" allUniqueName="[Table1_1].[COGS].[All]" dimensionUniqueName="[Table1_1]" displayFolder="" count="0" memberValueDatatype="5" unbalanced="0"/>
    <cacheHierarchy uniqueName="[Table1_1].[Gross Profit]" caption="Gross Profit" attribute="1" defaultMemberUniqueName="[Table1_1].[Gross Profit].[All]" allUniqueName="[Table1_1].[Gross Profit].[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Revenue Generated]" caption="Sum of Revenue Generated" measure="1" displayFolder="" measureGroup="Table1_1" count="0" hidden="1">
      <extLst>
        <ext xmlns:x15="http://schemas.microsoft.com/office/spreadsheetml/2010/11/main" uri="{B97F6D7D-B522-45F9-BDA1-12C45D357490}">
          <x15:cacheHierarchy aggregatedColumn="6"/>
        </ext>
      </extLst>
    </cacheHierarchy>
    <cacheHierarchy uniqueName="[Measures].[Sum of Number Of Products Sold]" caption="Sum of Number Of Products Sold"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Gross Profit]" caption="Sum of Gross Profit" measure="1" displayFolder="" measureGroup="Table1_1" count="0" hidden="1">
      <extLst>
        <ext xmlns:x15="http://schemas.microsoft.com/office/spreadsheetml/2010/11/main" uri="{B97F6D7D-B522-45F9-BDA1-12C45D357490}">
          <x15:cacheHierarchy aggregatedColumn="26"/>
        </ext>
      </extLst>
    </cacheHierarchy>
    <cacheHierarchy uniqueName="[Measures].[Sum of COGS]" caption="Sum of COGS" measure="1" displayFolder="" measureGroup="Table1_1"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Table1_1" count="0" hidden="1">
      <extLst>
        <ext xmlns:x15="http://schemas.microsoft.com/office/spreadsheetml/2010/11/main" uri="{B97F6D7D-B522-45F9-BDA1-12C45D357490}">
          <x15:cacheHierarchy aggregatedColumn="11"/>
        </ext>
      </extLst>
    </cacheHierarchy>
    <cacheHierarchy uniqueName="[Measures].[Sum of Shipping Costs]" caption="Sum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Sum of Lead Times]" caption="Sum of Lead Times" measure="1" displayFolder="" measureGroup="Table1_1" count="0" hidden="1">
      <extLst>
        <ext xmlns:x15="http://schemas.microsoft.com/office/spreadsheetml/2010/11/main" uri="{B97F6D7D-B522-45F9-BDA1-12C45D357490}">
          <x15:cacheHierarchy aggregatedColumn="9"/>
        </ext>
      </extLst>
    </cacheHierarchy>
    <cacheHierarchy uniqueName="[Measures].[Sum of Lead Time]" caption="Sum of Lead Time" measure="1" displayFolder="" measureGroup="Table1_1" count="0" hidden="1">
      <extLst>
        <ext xmlns:x15="http://schemas.microsoft.com/office/spreadsheetml/2010/11/main" uri="{B97F6D7D-B522-45F9-BDA1-12C45D357490}">
          <x15:cacheHierarchy aggregatedColumn="16"/>
        </ext>
      </extLst>
    </cacheHierarchy>
    <cacheHierarchy uniqueName="[Measures].[Average of Shipping Costs]" caption="Average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Count of Inventory Turnover]" caption="Count of Inventory Turnover" measure="1" displayFolder="" measureGroup="Table1_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son Dede" refreshedDate="46080.230896759262" backgroundQuery="1" createdVersion="8" refreshedVersion="8" minRefreshableVersion="3" recordCount="0" supportSubquery="1" supportAdvancedDrill="1" xr:uid="{09DEFB1A-F94D-4F45-91E3-D48AE9FF5313}">
  <cacheSource type="external" connectionId="3"/>
  <cacheFields count="3">
    <cacheField name="[Table1_1].[SKU].[SKU]" caption="SKU" numFmtId="0" hierarchy="1" level="1">
      <sharedItems count="10">
        <s v="SKU18"/>
        <s v="SKU2"/>
        <s v="SKU31"/>
        <s v="SKU32"/>
        <s v="SKU38"/>
        <s v="SKU51"/>
        <s v="SKU52"/>
        <s v="SKU67"/>
        <s v="SKU88"/>
        <s v="SKU90"/>
      </sharedItems>
    </cacheField>
    <cacheField name="[Measures].[Sum of Revenue Generated]" caption="Sum of Revenue Generated" numFmtId="0" hierarchy="29" level="32767"/>
    <cacheField name="[Table1_1].[Customer Demographics].[Customer Demographics]" caption="Customer Demographics" numFmtId="0" hierarchy="7" level="1">
      <sharedItems containsSemiMixedTypes="0" containsNonDate="0" containsString="0"/>
    </cacheField>
  </cacheFields>
  <cacheHierarchies count="39">
    <cacheHierarchy uniqueName="[Table1_1].[Product Type]" caption="Product Type" attribute="1" defaultMemberUniqueName="[Table1_1].[Product Type].[All]" allUniqueName="[Table1_1].[Product Type].[All]" dimensionUniqueName="[Table1_1]" displayFolder="" count="0" memberValueDatatype="130" unbalanced="0"/>
    <cacheHierarchy uniqueName="[Table1_1].[SKU]" caption="SKU" attribute="1" defaultMemberUniqueName="[Table1_1].[SKU].[All]" allUniqueName="[Table1_1].[SKU].[All]" dimensionUniqueName="[Table1_1]" displayFolder="" count="2" memberValueDatatype="130" unbalanced="0">
      <fieldsUsage count="2">
        <fieldUsage x="-1"/>
        <fieldUsage x="0"/>
      </fieldsUsage>
    </cacheHierarchy>
    <cacheHierarchy uniqueName="[Table1_1].[Inventory Turnover]" caption="Inventory Turnover" attribute="1" defaultMemberUniqueName="[Table1_1].[Inventory Turnover].[All]" allUniqueName="[Table1_1].[Inventory Turnover].[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Availability]" caption="Availability" attribute="1" defaultMemberUniqueName="[Table1_1].[Availability].[All]" allUniqueName="[Table1_1].[Availability].[All]" dimensionUniqueName="[Table1_1]" displayFolder="" count="0" memberValueDatatype="20" unbalanced="0"/>
    <cacheHierarchy uniqueName="[Table1_1].[Number Of Products Sold]" caption="Number Of Products Sold" attribute="1" defaultMemberUniqueName="[Table1_1].[Number Of Products Sold].[All]" allUniqueName="[Table1_1].[Number Of Products Sold].[All]" dimensionUniqueName="[Table1_1]" displayFolder="" count="0" memberValueDatatype="20" unbalanced="0"/>
    <cacheHierarchy uniqueName="[Table1_1].[Revenue Generated]" caption="Revenue Generated" attribute="1" defaultMemberUniqueName="[Table1_1].[Revenue Generated].[All]" allUniqueName="[Table1_1].[Revenue Generated].[All]" dimensionUniqueName="[Table1_1]" displayFolder="" count="0" memberValueDatatype="5" unbalanced="0"/>
    <cacheHierarchy uniqueName="[Table1_1].[Customer Demographics]" caption="Customer Demographics" attribute="1" defaultMemberUniqueName="[Table1_1].[Customer Demographics].[All]" allUniqueName="[Table1_1].[Customer Demographics].[All]" dimensionUniqueName="[Table1_1]" displayFolder="" count="2" memberValueDatatype="130" unbalanced="0">
      <fieldsUsage count="2">
        <fieldUsage x="-1"/>
        <fieldUsage x="2"/>
      </fieldsUsage>
    </cacheHierarchy>
    <cacheHierarchy uniqueName="[Table1_1].[Stock Levels]" caption="Stock Levels" attribute="1" defaultMemberUniqueName="[Table1_1].[Stock Levels].[All]" allUniqueName="[Table1_1].[Stock Levels].[All]" dimensionUniqueName="[Table1_1]" displayFolder="" count="0" memberValueDatatype="20" unbalanced="0"/>
    <cacheHierarchy uniqueName="[Table1_1].[Lead Times]" caption="Lead Times" attribute="1" defaultMemberUniqueName="[Table1_1].[Lead Times].[All]" allUniqueName="[Table1_1].[Lead Times].[All]" dimensionUniqueName="[Table1_1]" displayFolder="" count="0" memberValueDatatype="20" unbalanced="0"/>
    <cacheHierarchy uniqueName="[Table1_1].[Order Quantities]" caption="Order Quantities" attribute="1" defaultMemberUniqueName="[Table1_1].[Order Quantities].[All]" allUniqueName="[Table1_1].[Order Quantities].[All]" dimensionUniqueName="[Table1_1]" displayFolder="" count="0" memberValueDatatype="20" unbalanced="0"/>
    <cacheHierarchy uniqueName="[Table1_1].[Shipping Times]" caption="Shipping Times" attribute="1" defaultMemberUniqueName="[Table1_1].[Shipping Times].[All]" allUniqueName="[Table1_1].[Shipping Times].[All]" dimensionUniqueName="[Table1_1]" displayFolder="" count="0" memberValueDatatype="20" unbalanced="0"/>
    <cacheHierarchy uniqueName="[Table1_1].[Shipping Carriers]" caption="Shipping Carriers" attribute="1" defaultMemberUniqueName="[Table1_1].[Shipping Carriers].[All]" allUniqueName="[Table1_1].[Shipping Carriers].[All]" dimensionUniqueName="[Table1_1]" displayFolder="" count="0" memberValueDatatype="130" unbalanced="0"/>
    <cacheHierarchy uniqueName="[Table1_1].[Shipping Costs]" caption="Shipping Costs" attribute="1" defaultMemberUniqueName="[Table1_1].[Shipping Costs].[All]" allUniqueName="[Table1_1].[Shipping Costs].[All]" dimensionUniqueName="[Table1_1]" displayFolder="" count="0" memberValueDatatype="5" unbalanced="0"/>
    <cacheHierarchy uniqueName="[Table1_1].[Supplier Name]" caption="Supplier Name" attribute="1" defaultMemberUniqueName="[Table1_1].[Supplier Name].[All]" allUniqueName="[Table1_1].[Supplier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2" memberValueDatatype="130" unbalanced="0"/>
    <cacheHierarchy uniqueName="[Table1_1].[Lead Time]" caption="Lead Time" attribute="1" defaultMemberUniqueName="[Table1_1].[Lead Time].[All]" allUniqueName="[Table1_1].[Lead Time].[All]" dimensionUniqueName="[Table1_1]" displayFolder="" count="0" memberValueDatatype="20" unbalanced="0"/>
    <cacheHierarchy uniqueName="[Table1_1].[Production Volumes]" caption="Production Volumes" attribute="1" defaultMemberUniqueName="[Table1_1].[Production Volumes].[All]" allUniqueName="[Table1_1].[Production Volumes].[All]" dimensionUniqueName="[Table1_1]" displayFolder="" count="0" memberValueDatatype="20" unbalanced="0"/>
    <cacheHierarchy uniqueName="[Table1_1].[Manufacturing Lead Time]" caption="Manufacturing Lead Time" attribute="1" defaultMemberUniqueName="[Table1_1].[Manufacturing Lead Time].[All]" allUniqueName="[Table1_1].[Manufacturing Lead Time].[All]" dimensionUniqueName="[Table1_1]" displayFolder="" count="0" memberValueDatatype="20" unbalanced="0"/>
    <cacheHierarchy uniqueName="[Table1_1].[Manufacturing Costs]" caption="Manufacturing Costs" attribute="1" defaultMemberUniqueName="[Table1_1].[Manufacturing Costs].[All]" allUniqueName="[Table1_1].[Manufacturing Costs].[All]" dimensionUniqueName="[Table1_1]" displayFolder="" count="0" memberValueDatatype="5" unbalanced="0"/>
    <cacheHierarchy uniqueName="[Table1_1].[Inspection Results]" caption="Inspection Results" attribute="1" defaultMemberUniqueName="[Table1_1].[Inspection Results].[All]" allUniqueName="[Table1_1].[Inspection Results].[All]" dimensionUniqueName="[Table1_1]" displayFolder="" count="0" memberValueDatatype="130" unbalanced="0"/>
    <cacheHierarchy uniqueName="[Table1_1].[Defect Rates]" caption="Defect Rates" attribute="1" defaultMemberUniqueName="[Table1_1].[Defect Rates].[All]" allUniqueName="[Table1_1].[Defect Rates].[All]" dimensionUniqueName="[Table1_1]" displayFolder="" count="0" memberValueDatatype="5" unbalanced="0"/>
    <cacheHierarchy uniqueName="[Table1_1].[Transportation Modes]" caption="Transportation Modes" attribute="1" defaultMemberUniqueName="[Table1_1].[Transportation Modes].[All]" allUniqueName="[Table1_1].[Transportation Modes].[All]" dimensionUniqueName="[Table1_1]" displayFolder="" count="0" memberValueDatatype="130" unbalanced="0"/>
    <cacheHierarchy uniqueName="[Table1_1].[Routes]" caption="Routes" attribute="1" defaultMemberUniqueName="[Table1_1].[Routes].[All]" allUniqueName="[Table1_1].[Routes].[All]" dimensionUniqueName="[Table1_1]" displayFolder="" count="0" memberValueDatatype="130" unbalanced="0"/>
    <cacheHierarchy uniqueName="[Table1_1].[Costs]" caption="Costs" attribute="1" defaultMemberUniqueName="[Table1_1].[Costs].[All]" allUniqueName="[Table1_1].[Costs].[All]" dimensionUniqueName="[Table1_1]" displayFolder="" count="0" memberValueDatatype="5" unbalanced="0"/>
    <cacheHierarchy uniqueName="[Table1_1].[COGS]" caption="COGS" attribute="1" defaultMemberUniqueName="[Table1_1].[COGS].[All]" allUniqueName="[Table1_1].[COGS].[All]" dimensionUniqueName="[Table1_1]" displayFolder="" count="0" memberValueDatatype="5" unbalanced="0"/>
    <cacheHierarchy uniqueName="[Table1_1].[Gross Profit]" caption="Gross Profit" attribute="1" defaultMemberUniqueName="[Table1_1].[Gross Profit].[All]" allUniqueName="[Table1_1].[Gross Profit].[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Revenue Generated]" caption="Sum of Revenue Generated" measure="1" displayFolder="" measureGroup="Table1_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Number Of Products Sold]" caption="Sum of Number Of Products Sold" measure="1" displayFolder="" measureGroup="Table1_1" count="0" hidden="1">
      <extLst>
        <ext xmlns:x15="http://schemas.microsoft.com/office/spreadsheetml/2010/11/main" uri="{B97F6D7D-B522-45F9-BDA1-12C45D357490}">
          <x15:cacheHierarchy aggregatedColumn="5"/>
        </ext>
      </extLst>
    </cacheHierarchy>
    <cacheHierarchy uniqueName="[Measures].[Sum of Gross Profit]" caption="Sum of Gross Profit" measure="1" displayFolder="" measureGroup="Table1_1" count="0" hidden="1">
      <extLst>
        <ext xmlns:x15="http://schemas.microsoft.com/office/spreadsheetml/2010/11/main" uri="{B97F6D7D-B522-45F9-BDA1-12C45D357490}">
          <x15:cacheHierarchy aggregatedColumn="26"/>
        </ext>
      </extLst>
    </cacheHierarchy>
    <cacheHierarchy uniqueName="[Measures].[Sum of COGS]" caption="Sum of COGS" measure="1" displayFolder="" measureGroup="Table1_1"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Table1_1" count="0" hidden="1">
      <extLst>
        <ext xmlns:x15="http://schemas.microsoft.com/office/spreadsheetml/2010/11/main" uri="{B97F6D7D-B522-45F9-BDA1-12C45D357490}">
          <x15:cacheHierarchy aggregatedColumn="11"/>
        </ext>
      </extLst>
    </cacheHierarchy>
    <cacheHierarchy uniqueName="[Measures].[Sum of Shipping Costs]" caption="Sum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Sum of Lead Times]" caption="Sum of Lead Times" measure="1" displayFolder="" measureGroup="Table1_1" count="0" hidden="1">
      <extLst>
        <ext xmlns:x15="http://schemas.microsoft.com/office/spreadsheetml/2010/11/main" uri="{B97F6D7D-B522-45F9-BDA1-12C45D357490}">
          <x15:cacheHierarchy aggregatedColumn="9"/>
        </ext>
      </extLst>
    </cacheHierarchy>
    <cacheHierarchy uniqueName="[Measures].[Sum of Lead Time]" caption="Sum of Lead Time" measure="1" displayFolder="" measureGroup="Table1_1" count="0" hidden="1">
      <extLst>
        <ext xmlns:x15="http://schemas.microsoft.com/office/spreadsheetml/2010/11/main" uri="{B97F6D7D-B522-45F9-BDA1-12C45D357490}">
          <x15:cacheHierarchy aggregatedColumn="16"/>
        </ext>
      </extLst>
    </cacheHierarchy>
    <cacheHierarchy uniqueName="[Measures].[Average of Shipping Costs]" caption="Average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Count of Inventory Turnover]" caption="Count of Inventory Turnover" measure="1" displayFolder="" measureGroup="Table1_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son Dede" refreshedDate="46080.205933333331" backgroundQuery="1" createdVersion="3" refreshedVersion="8" minRefreshableVersion="3" recordCount="0" supportSubquery="1" supportAdvancedDrill="1" xr:uid="{D0A73644-3ABC-4533-BD14-04CA4A044A29}">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Table1_1].[Product Type]" caption="Product Type" attribute="1" defaultMemberUniqueName="[Table1_1].[Product Type].[All]" allUniqueName="[Table1_1].[Product Type].[All]" dimensionUniqueName="[Table1_1]" displayFolder="" count="0" memberValueDatatype="130" unbalanced="0"/>
    <cacheHierarchy uniqueName="[Table1_1].[SKU]" caption="SKU" attribute="1" defaultMemberUniqueName="[Table1_1].[SKU].[All]" allUniqueName="[Table1_1].[SKU].[All]" dimensionUniqueName="[Table1_1]" displayFolder="" count="0" memberValueDatatype="130" unbalanced="0"/>
    <cacheHierarchy uniqueName="[Table1_1].[Inventory Turnover]" caption="Inventory Turnover" attribute="1" defaultMemberUniqueName="[Table1_1].[Inventory Turnover].[All]" allUniqueName="[Table1_1].[Inventory Turnover].[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Availability]" caption="Availability" attribute="1" defaultMemberUniqueName="[Table1_1].[Availability].[All]" allUniqueName="[Table1_1].[Availability].[All]" dimensionUniqueName="[Table1_1]" displayFolder="" count="0" memberValueDatatype="20" unbalanced="0"/>
    <cacheHierarchy uniqueName="[Table1_1].[Number Of Products Sold]" caption="Number Of Products Sold" attribute="1" defaultMemberUniqueName="[Table1_1].[Number Of Products Sold].[All]" allUniqueName="[Table1_1].[Number Of Products Sold].[All]" dimensionUniqueName="[Table1_1]" displayFolder="" count="0" memberValueDatatype="20" unbalanced="0"/>
    <cacheHierarchy uniqueName="[Table1_1].[Revenue Generated]" caption="Revenue Generated" attribute="1" defaultMemberUniqueName="[Table1_1].[Revenue Generated].[All]" allUniqueName="[Table1_1].[Revenue Generated].[All]" dimensionUniqueName="[Table1_1]" displayFolder="" count="0" memberValueDatatype="5" unbalanced="0"/>
    <cacheHierarchy uniqueName="[Table1_1].[Customer Demographics]" caption="Customer Demographics" attribute="1" defaultMemberUniqueName="[Table1_1].[Customer Demographics].[All]" allUniqueName="[Table1_1].[Customer Demographics].[All]" dimensionUniqueName="[Table1_1]" displayFolder="" count="2" memberValueDatatype="130" unbalanced="0"/>
    <cacheHierarchy uniqueName="[Table1_1].[Stock Levels]" caption="Stock Levels" attribute="1" defaultMemberUniqueName="[Table1_1].[Stock Levels].[All]" allUniqueName="[Table1_1].[Stock Levels].[All]" dimensionUniqueName="[Table1_1]" displayFolder="" count="0" memberValueDatatype="20" unbalanced="0"/>
    <cacheHierarchy uniqueName="[Table1_1].[Lead Times]" caption="Lead Times" attribute="1" defaultMemberUniqueName="[Table1_1].[Lead Times].[All]" allUniqueName="[Table1_1].[Lead Times].[All]" dimensionUniqueName="[Table1_1]" displayFolder="" count="0" memberValueDatatype="20" unbalanced="0"/>
    <cacheHierarchy uniqueName="[Table1_1].[Order Quantities]" caption="Order Quantities" attribute="1" defaultMemberUniqueName="[Table1_1].[Order Quantities].[All]" allUniqueName="[Table1_1].[Order Quantities].[All]" dimensionUniqueName="[Table1_1]" displayFolder="" count="0" memberValueDatatype="20" unbalanced="0"/>
    <cacheHierarchy uniqueName="[Table1_1].[Shipping Times]" caption="Shipping Times" attribute="1" defaultMemberUniqueName="[Table1_1].[Shipping Times].[All]" allUniqueName="[Table1_1].[Shipping Times].[All]" dimensionUniqueName="[Table1_1]" displayFolder="" count="0" memberValueDatatype="20" unbalanced="0"/>
    <cacheHierarchy uniqueName="[Table1_1].[Shipping Carriers]" caption="Shipping Carriers" attribute="1" defaultMemberUniqueName="[Table1_1].[Shipping Carriers].[All]" allUniqueName="[Table1_1].[Shipping Carriers].[All]" dimensionUniqueName="[Table1_1]" displayFolder="" count="0" memberValueDatatype="130" unbalanced="0"/>
    <cacheHierarchy uniqueName="[Table1_1].[Shipping Costs]" caption="Shipping Costs" attribute="1" defaultMemberUniqueName="[Table1_1].[Shipping Costs].[All]" allUniqueName="[Table1_1].[Shipping Costs].[All]" dimensionUniqueName="[Table1_1]" displayFolder="" count="0" memberValueDatatype="5" unbalanced="0"/>
    <cacheHierarchy uniqueName="[Table1_1].[Supplier Name]" caption="Supplier Name" attribute="1" defaultMemberUniqueName="[Table1_1].[Supplier Name].[All]" allUniqueName="[Table1_1].[Supplier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2" memberValueDatatype="130" unbalanced="0"/>
    <cacheHierarchy uniqueName="[Table1_1].[Lead Time]" caption="Lead Time" attribute="1" defaultMemberUniqueName="[Table1_1].[Lead Time].[All]" allUniqueName="[Table1_1].[Lead Time].[All]" dimensionUniqueName="[Table1_1]" displayFolder="" count="0" memberValueDatatype="20" unbalanced="0"/>
    <cacheHierarchy uniqueName="[Table1_1].[Production Volumes]" caption="Production Volumes" attribute="1" defaultMemberUniqueName="[Table1_1].[Production Volumes].[All]" allUniqueName="[Table1_1].[Production Volumes].[All]" dimensionUniqueName="[Table1_1]" displayFolder="" count="0" memberValueDatatype="20" unbalanced="0"/>
    <cacheHierarchy uniqueName="[Table1_1].[Manufacturing Lead Time]" caption="Manufacturing Lead Time" attribute="1" defaultMemberUniqueName="[Table1_1].[Manufacturing Lead Time].[All]" allUniqueName="[Table1_1].[Manufacturing Lead Time].[All]" dimensionUniqueName="[Table1_1]" displayFolder="" count="0" memberValueDatatype="20" unbalanced="0"/>
    <cacheHierarchy uniqueName="[Table1_1].[Manufacturing Costs]" caption="Manufacturing Costs" attribute="1" defaultMemberUniqueName="[Table1_1].[Manufacturing Costs].[All]" allUniqueName="[Table1_1].[Manufacturing Costs].[All]" dimensionUniqueName="[Table1_1]" displayFolder="" count="0" memberValueDatatype="5" unbalanced="0"/>
    <cacheHierarchy uniqueName="[Table1_1].[Inspection Results]" caption="Inspection Results" attribute="1" defaultMemberUniqueName="[Table1_1].[Inspection Results].[All]" allUniqueName="[Table1_1].[Inspection Results].[All]" dimensionUniqueName="[Table1_1]" displayFolder="" count="0" memberValueDatatype="130" unbalanced="0"/>
    <cacheHierarchy uniqueName="[Table1_1].[Defect Rates]" caption="Defect Rates" attribute="1" defaultMemberUniqueName="[Table1_1].[Defect Rates].[All]" allUniqueName="[Table1_1].[Defect Rates].[All]" dimensionUniqueName="[Table1_1]" displayFolder="" count="0" memberValueDatatype="5" unbalanced="0"/>
    <cacheHierarchy uniqueName="[Table1_1].[Transportation Modes]" caption="Transportation Modes" attribute="1" defaultMemberUniqueName="[Table1_1].[Transportation Modes].[All]" allUniqueName="[Table1_1].[Transportation Modes].[All]" dimensionUniqueName="[Table1_1]" displayFolder="" count="0" memberValueDatatype="130" unbalanced="0"/>
    <cacheHierarchy uniqueName="[Table1_1].[Routes]" caption="Routes" attribute="1" defaultMemberUniqueName="[Table1_1].[Routes].[All]" allUniqueName="[Table1_1].[Routes].[All]" dimensionUniqueName="[Table1_1]" displayFolder="" count="0" memberValueDatatype="130" unbalanced="0"/>
    <cacheHierarchy uniqueName="[Table1_1].[Costs]" caption="Costs" attribute="1" defaultMemberUniqueName="[Table1_1].[Costs].[All]" allUniqueName="[Table1_1].[Costs].[All]" dimensionUniqueName="[Table1_1]" displayFolder="" count="0" memberValueDatatype="5" unbalanced="0"/>
    <cacheHierarchy uniqueName="[Table1_1].[COGS]" caption="COGS" attribute="1" defaultMemberUniqueName="[Table1_1].[COGS].[All]" allUniqueName="[Table1_1].[COGS].[All]" dimensionUniqueName="[Table1_1]" displayFolder="" count="0" memberValueDatatype="5" unbalanced="0"/>
    <cacheHierarchy uniqueName="[Table1_1].[Gross Profit]" caption="Gross Profit" attribute="1" defaultMemberUniqueName="[Table1_1].[Gross Profit].[All]" allUniqueName="[Table1_1].[Gross Profit].[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Revenue Generated]" caption="Sum of Revenue Generated" measure="1" displayFolder="" measureGroup="Table1_1" count="0" hidden="1">
      <extLst>
        <ext xmlns:x15="http://schemas.microsoft.com/office/spreadsheetml/2010/11/main" uri="{B97F6D7D-B522-45F9-BDA1-12C45D357490}">
          <x15:cacheHierarchy aggregatedColumn="6"/>
        </ext>
      </extLst>
    </cacheHierarchy>
    <cacheHierarchy uniqueName="[Measures].[Sum of Number Of Products Sold]" caption="Sum of Number Of Products Sold" measure="1" displayFolder="" measureGroup="Table1_1" count="0" hidden="1">
      <extLst>
        <ext xmlns:x15="http://schemas.microsoft.com/office/spreadsheetml/2010/11/main" uri="{B97F6D7D-B522-45F9-BDA1-12C45D357490}">
          <x15:cacheHierarchy aggregatedColumn="5"/>
        </ext>
      </extLst>
    </cacheHierarchy>
    <cacheHierarchy uniqueName="[Measures].[Sum of Gross Profit]" caption="Sum of Gross Profit" measure="1" displayFolder="" measureGroup="Table1_1" count="0" hidden="1">
      <extLst>
        <ext xmlns:x15="http://schemas.microsoft.com/office/spreadsheetml/2010/11/main" uri="{B97F6D7D-B522-45F9-BDA1-12C45D357490}">
          <x15:cacheHierarchy aggregatedColumn="26"/>
        </ext>
      </extLst>
    </cacheHierarchy>
    <cacheHierarchy uniqueName="[Measures].[Sum of COGS]" caption="Sum of COGS" measure="1" displayFolder="" measureGroup="Table1_1"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Table1_1" count="0" hidden="1">
      <extLst>
        <ext xmlns:x15="http://schemas.microsoft.com/office/spreadsheetml/2010/11/main" uri="{B97F6D7D-B522-45F9-BDA1-12C45D357490}">
          <x15:cacheHierarchy aggregatedColumn="11"/>
        </ext>
      </extLst>
    </cacheHierarchy>
    <cacheHierarchy uniqueName="[Measures].[Sum of Shipping Costs]" caption="Sum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Sum of Lead Times]" caption="Sum of Lead Times" measure="1" displayFolder="" measureGroup="Table1_1" count="0" hidden="1">
      <extLst>
        <ext xmlns:x15="http://schemas.microsoft.com/office/spreadsheetml/2010/11/main" uri="{B97F6D7D-B522-45F9-BDA1-12C45D357490}">
          <x15:cacheHierarchy aggregatedColumn="9"/>
        </ext>
      </extLst>
    </cacheHierarchy>
    <cacheHierarchy uniqueName="[Measures].[Sum of Lead Time]" caption="Sum of Lead Time" measure="1" displayFolder="" measureGroup="Table1_1" count="0" hidden="1">
      <extLst>
        <ext xmlns:x15="http://schemas.microsoft.com/office/spreadsheetml/2010/11/main" uri="{B97F6D7D-B522-45F9-BDA1-12C45D357490}">
          <x15:cacheHierarchy aggregatedColumn="16"/>
        </ext>
      </extLst>
    </cacheHierarchy>
    <cacheHierarchy uniqueName="[Measures].[Average of Shipping Costs]" caption="Average of Shipping Costs" measure="1" displayFolder="" measureGroup="Table1_1" count="0" hidden="1">
      <extLst>
        <ext xmlns:x15="http://schemas.microsoft.com/office/spreadsheetml/2010/11/main" uri="{B97F6D7D-B522-45F9-BDA1-12C45D357490}">
          <x15:cacheHierarchy aggregatedColumn="13"/>
        </ext>
      </extLst>
    </cacheHierarchy>
    <cacheHierarchy uniqueName="[Measures].[Count of Inventory Turnover]" caption="Count of Inventory Turnover" measure="1" displayFolder="" measureGroup="Table1_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8520859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2FEA3-7149-452B-81D2-73395143D6B0}" name="PivotTable2" cacheId="6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0:B14" firstHeaderRow="1" firstDataRow="1" firstDataCol="1"/>
  <pivotFields count="3">
    <pivotField axis="axisRow" allDrilled="1" subtotalTop="0"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Number Of Products Sold" fld="1" baseField="0" baseItem="2" numFmtId="164"/>
  </dataFields>
  <formats count="3">
    <format dxfId="402">
      <pivotArea dataOnly="0" labelOnly="1" outline="0" axis="axisValues" fieldPosition="0"/>
    </format>
    <format dxfId="395">
      <pivotArea outline="0" fieldPosition="0">
        <references count="1">
          <reference field="4294967294" count="1">
            <x v="0"/>
          </reference>
        </references>
      </pivotArea>
    </format>
    <format dxfId="394">
      <pivotArea outline="0" collapsedLevelsAreSubtotals="1" fieldPosition="0"/>
    </format>
  </format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2"/>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2"/>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set.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9B6EBD-75B5-4253-9849-19A368295907}" name="PivotTable1" cacheId="6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Gross Profit" fld="1" baseField="0" baseItem="0" numFmtId="164"/>
  </dataFields>
  <formats count="2">
    <format dxfId="401">
      <pivotArea dataOnly="0" labelOnly="1" outline="0" axis="axisValues" fieldPosition="0"/>
    </format>
    <format dxfId="385">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set.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8AFFC-961D-43E7-8335-4C39FFF33D9F}" name="PivotTable11" cacheId="6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9:B4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2"/>
    </i>
    <i>
      <x v="1"/>
    </i>
    <i>
      <x/>
    </i>
    <i t="grand">
      <x/>
    </i>
  </rowItems>
  <colItems count="1">
    <i/>
  </colItems>
  <dataFields count="1">
    <dataField name="Count of Inventory Turnover" fld="1" subtotal="count" baseField="0" baseItem="0" numFmtId="164"/>
  </dataFields>
  <formats count="2">
    <format dxfId="400">
      <pivotArea outline="0" collapsedLevelsAreSubtotals="1" fieldPosition="0"/>
    </format>
    <format dxfId="399">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set.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0FD7EE-D3AD-43CA-B7C1-D59ADCD2EB54}" name="PivotTable10" cacheId="6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1:B3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1"/>
    </i>
    <i>
      <x v="2"/>
    </i>
    <i>
      <x/>
    </i>
    <i>
      <x v="3"/>
    </i>
    <i t="grand">
      <x/>
    </i>
  </rowItems>
  <colItems count="1">
    <i/>
  </colItems>
  <dataFields count="1">
    <dataField name="Sum of Shipping Times" fld="2" baseField="0" baseItem="0" numFmtId="164"/>
  </dataFields>
  <formats count="2">
    <format dxfId="398">
      <pivotArea outline="0" collapsedLevelsAreSubtotals="1" fieldPosition="0"/>
    </format>
    <format dxfId="39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set.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83C620-1856-4FEC-B836-E3252615A365}" name="PivotTable4" cacheId="6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7:B2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6"/>
    </i>
    <i>
      <x v="8"/>
    </i>
    <i>
      <x v="7"/>
    </i>
    <i>
      <x v="3"/>
    </i>
    <i>
      <x v="1"/>
    </i>
    <i>
      <x v="9"/>
    </i>
    <i>
      <x v="2"/>
    </i>
    <i>
      <x v="4"/>
    </i>
    <i>
      <x v="5"/>
    </i>
    <i t="grand">
      <x/>
    </i>
  </rowItems>
  <colItems count="1">
    <i/>
  </colItems>
  <dataFields count="1">
    <dataField name="Sum of Revenue Generated" fld="1" baseField="0" baseItem="0" numFmtId="164"/>
  </dataFields>
  <formats count="2">
    <format dxfId="396">
      <pivotArea dataOnly="0" labelOnly="1" outline="0" axis="axisValues" fieldPosition="0"/>
    </format>
    <format dxfId="38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set.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B6A5F-12E9-4BC3-A114-B8B0A51B3775}"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7D2E67D-5024-44B7-AEEB-77F5F325BF98}" autoFormatId="16" applyNumberFormats="0" applyBorderFormats="0" applyFontFormats="0" applyPatternFormats="0" applyAlignmentFormats="0" applyWidthHeightFormats="0">
  <queryTableRefresh nextId="31" unboundColumnsRight="2">
    <queryTableFields count="27">
      <queryTableField id="1" name="Product Type" tableColumnId="1"/>
      <queryTableField id="2" name="SKU" tableColumnId="2"/>
      <queryTableField id="30" dataBound="0" tableColumnId="30"/>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 xr10:uid="{948CC597-A645-40C9-8BA4-9517BBF985B9}" sourceName="[Table1_1].[Customer Demographics]">
  <pivotTables>
    <pivotTable tabId="5" name="PivotTable1"/>
    <pivotTable tabId="5" name="PivotTable10"/>
    <pivotTable tabId="5" name="PivotTable11"/>
    <pivotTable tabId="5" name="PivotTable2"/>
    <pivotTable tabId="5" name="PivotTable4"/>
  </pivotTables>
  <data>
    <olap pivotCacheId="1852085938">
      <levels count="2">
        <level uniqueName="[Table1_1].[Customer Demographics].[(All)]" sourceCaption="(All)" count="0"/>
        <level uniqueName="[Table1_1].[Customer Demographics].[Customer Demographics]" sourceCaption="Customer Demographics" count="4">
          <ranges>
            <range startItem="0">
              <i n="[Table1_1].[Customer Demographics].&amp;[Female]" c="Female"/>
              <i n="[Table1_1].[Customer Demographics].&amp;[Male]" c="Male"/>
              <i n="[Table1_1].[Customer Demographics].&amp;[Non-Binary]" c="Non-Binary"/>
              <i n="[Table1_1].[Customer Demographics].&amp;[Unknown]" c="Unknown"/>
            </range>
          </ranges>
        </level>
      </levels>
      <selections count="1">
        <selection n="[Table1_1].[Customer Demographic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5D2ED19-042B-49C2-B8E4-EA0D1CAC3A72}" sourceName="[Table1_1].[Location]">
  <pivotTables>
    <pivotTable tabId="5" name="PivotTable1"/>
    <pivotTable tabId="5" name="PivotTable10"/>
    <pivotTable tabId="5" name="PivotTable11"/>
    <pivotTable tabId="5" name="PivotTable2"/>
    <pivotTable tabId="5" name="PivotTable4"/>
  </pivotTables>
  <data>
    <olap pivotCacheId="1852085938">
      <levels count="2">
        <level uniqueName="[Table1_1].[Location].[(All)]" sourceCaption="(All)" count="0"/>
        <level uniqueName="[Table1_1].[Location].[Location]" sourceCaption="Location" count="5">
          <ranges>
            <range startItem="0">
              <i n="[Table1_1].[Location].&amp;[Bangalore]" c="Bangalore"/>
              <i n="[Table1_1].[Location].&amp;[Chennai]" c="Chennai"/>
              <i n="[Table1_1].[Location].&amp;[Delhi]" c="Delhi"/>
              <i n="[Table1_1].[Location].&amp;[Kolkata]" c="Kolkata"/>
              <i n="[Table1_1].[Location].&amp;[Mumbai]" c="Mumbai"/>
            </range>
          </ranges>
        </level>
      </levels>
      <selections count="1">
        <selection n="[Table1_1].[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Demographics" xr10:uid="{576E2251-FB3A-45A2-BD86-0CCF730F0F3A}" cache="Slicer_Customer_Demographics" caption="Customer Demographics" level="1" rowHeight="247650"/>
  <slicer name="Location" xr10:uid="{60CE31C5-EDC4-4C71-8A0E-52CB7E09186E}" cache="Slicer_Location" caption="Locat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Demographics 1" xr10:uid="{0A7B20BE-82EC-47E4-AD67-7C93D6DBFCB7}" cache="Slicer_Customer_Demographics" caption="Customer Demographics" showCaption="0" level="1" style="1st Project 2" rowHeight="247650"/>
  <slicer name="Location 1" xr10:uid="{B5492D27-49D2-4565-B487-9E89476FFD4C}" cache="Slicer_Location" caption="Location" showCaption="0" level="1" style="1st Project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B2B101-5E61-4CA2-8A14-6A8C65EA5BA6}" name="Table1_14" displayName="Table1_14" ref="A1:X101" tableType="queryTable" totalsRowShown="0">
  <autoFilter ref="A1:X101" xr:uid="{AC6DB0DC-63B2-4785-9311-2AC64908E317}"/>
  <tableColumns count="24">
    <tableColumn id="1" xr3:uid="{258A7BA1-0F0C-409F-AC74-0D6E888E2F8E}" uniqueName="1" name="Product Type" queryTableFieldId="1" dataDxfId="431"/>
    <tableColumn id="2" xr3:uid="{46A8BDAD-8FE7-4DD7-8124-17AE470C40CA}" uniqueName="2" name="SKU" queryTableFieldId="2" dataDxfId="430"/>
    <tableColumn id="3" xr3:uid="{85717F40-B05C-4CE2-8D83-11102DF760BE}" uniqueName="3" name="Price" queryTableFieldId="3"/>
    <tableColumn id="4" xr3:uid="{0B951FF9-213A-4BCC-9C8F-B79DFC58B9B5}" uniqueName="4" name="Availability" queryTableFieldId="4"/>
    <tableColumn id="5" xr3:uid="{BE5C3CDA-F706-43BC-A4FD-5CA98818BF14}" uniqueName="5" name="Number Of Products Sold" queryTableFieldId="5"/>
    <tableColumn id="6" xr3:uid="{BD94832C-4DAF-4709-9CC1-AC77A6B9C609}" uniqueName="6" name="Revenue Generated" queryTableFieldId="6"/>
    <tableColumn id="7" xr3:uid="{B2CB736B-B26D-46CE-B56F-B1FE8F0B086E}" uniqueName="7" name="Customer Demographics" queryTableFieldId="7" dataDxfId="429"/>
    <tableColumn id="8" xr3:uid="{883B5F42-B38F-4BC4-B618-A18F73A2008E}" uniqueName="8" name="Stock Levels" queryTableFieldId="8"/>
    <tableColumn id="9" xr3:uid="{27FC8BE3-12E4-42C4-979D-961ABDC8B9F1}" uniqueName="9" name="Lead Times" queryTableFieldId="9"/>
    <tableColumn id="10" xr3:uid="{4F8E18DB-2872-4FF0-A1BF-29509E643096}" uniqueName="10" name="Order Quantities" queryTableFieldId="10"/>
    <tableColumn id="11" xr3:uid="{42012798-8228-49DE-8076-0AC7765F38EB}" uniqueName="11" name="Shipping Times" queryTableFieldId="11"/>
    <tableColumn id="12" xr3:uid="{73230575-17B7-4892-93F6-F07FC586195B}" uniqueName="12" name="Shipping Carriers" queryTableFieldId="12" dataDxfId="428"/>
    <tableColumn id="13" xr3:uid="{00C3A2CF-54B8-49B4-9A16-AB9AB2471670}" uniqueName="13" name="Shipping Costs" queryTableFieldId="13"/>
    <tableColumn id="14" xr3:uid="{82008161-38B5-4416-AA7D-A3686336BE0D}" uniqueName="14" name="Supplier Name" queryTableFieldId="14" dataDxfId="427"/>
    <tableColumn id="15" xr3:uid="{1EC4757C-1914-480F-B598-70BD06C97D0F}" uniqueName="15" name="Location" queryTableFieldId="15" dataDxfId="426"/>
    <tableColumn id="16" xr3:uid="{BE07B59A-6513-4969-83D0-0689C21C0787}" uniqueName="16" name="Lead Time" queryTableFieldId="16"/>
    <tableColumn id="17" xr3:uid="{62DE9AFC-B0EC-40AC-B5F9-5E48123B4BBA}" uniqueName="17" name="Production Volumes" queryTableFieldId="17"/>
    <tableColumn id="18" xr3:uid="{64EFF00F-58B3-43A6-B5A6-F554E30A4EA4}" uniqueName="18" name="Manufacturing Lead Time" queryTableFieldId="18"/>
    <tableColumn id="19" xr3:uid="{25D3DABB-0B52-49BD-89A1-FE66349E01D5}" uniqueName="19" name="Manufacturing Costs" queryTableFieldId="19"/>
    <tableColumn id="20" xr3:uid="{E81026EF-6CE2-4906-A685-81ED5CEC3846}" uniqueName="20" name="Inspection Results" queryTableFieldId="20" dataDxfId="425"/>
    <tableColumn id="21" xr3:uid="{67D5041F-A38C-4B28-A523-42B07E802129}" uniqueName="21" name="Defect Rates" queryTableFieldId="21"/>
    <tableColumn id="22" xr3:uid="{CA133BE3-DFFC-40CF-8084-71AE78B317B9}" uniqueName="22" name="Transportation Modes" queryTableFieldId="22" dataDxfId="424"/>
    <tableColumn id="23" xr3:uid="{0AC62704-FB45-47AC-9CBB-556AD77628F3}" uniqueName="23" name="Routes" queryTableFieldId="23" dataDxfId="423"/>
    <tableColumn id="24" xr3:uid="{20C1ED52-0255-4D49-9C0A-4FF13D8247D8}" uniqueName="24" name="Costs" queryTableField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6DB0DC-63B2-4785-9311-2AC64908E317}" name="Table1_1" displayName="Table1_1" ref="A1:AA102" tableType="queryTable" totalsRowCount="1">
  <autoFilter ref="A1:AA101" xr:uid="{AC6DB0DC-63B2-4785-9311-2AC64908E317}"/>
  <tableColumns count="27">
    <tableColumn id="1" xr3:uid="{61FCACB4-224F-4A3E-AB05-5D1192C92D0C}" uniqueName="1" name="Product Type" queryTableFieldId="1" dataDxfId="422" totalsRowDxfId="421"/>
    <tableColumn id="2" xr3:uid="{2B47AD88-1483-4AE2-8FCF-5E8AD074131E}" uniqueName="2" name="SKU" queryTableFieldId="2" dataDxfId="420" totalsRowDxfId="419"/>
    <tableColumn id="30" xr3:uid="{269D98CE-C401-4E1F-9D47-69ABB4C87120}" uniqueName="30" name="Inventory Turnover" queryTableFieldId="30" dataDxfId="418" totalsRowDxfId="417">
      <calculatedColumnFormula>Table1_1[[#This Row],[Number Of Products Sold]]/Table1_1[[#This Row],[Stock Levels]]</calculatedColumnFormula>
    </tableColumn>
    <tableColumn id="3" xr3:uid="{C5E9F16B-D7D7-41D8-8534-F9A16BB428FC}" uniqueName="3" name="Price" queryTableFieldId="3"/>
    <tableColumn id="4" xr3:uid="{F07583BE-06D3-482A-BA57-2349D8D8058A}" uniqueName="4" name="Availability" queryTableFieldId="4"/>
    <tableColumn id="5" xr3:uid="{89822C1A-D2C2-4ED4-A1F7-7A813BD6D1AA}" uniqueName="5" name="Number Of Products Sold" totalsRowFunction="sum" queryTableFieldId="5" totalsRowDxfId="416"/>
    <tableColumn id="6" xr3:uid="{B9021BBF-6E53-48D2-9D3B-507513D5AB48}" uniqueName="6" name="Revenue Generated" totalsRowFunction="sum" queryTableFieldId="6" dataDxfId="392" totalsRowDxfId="391" dataCellStyle="Currency" totalsRowCellStyle="Currency"/>
    <tableColumn id="7" xr3:uid="{335D65A8-1DFF-4579-B447-46E1A3CB2AF8}" uniqueName="7" name="Customer Demographics" queryTableFieldId="7" dataDxfId="393" totalsRowDxfId="415"/>
    <tableColumn id="8" xr3:uid="{DFFB017B-E3A0-4D6D-B8A2-E646918B21F4}" uniqueName="8" name="Stock Levels" totalsRowFunction="average" queryTableFieldId="8"/>
    <tableColumn id="9" xr3:uid="{6ABD16D2-F7BA-47EC-8749-2326A255CF2C}" uniqueName="9" name="Lead Times" totalsRowFunction="average" queryTableFieldId="9"/>
    <tableColumn id="10" xr3:uid="{8BA0CE7A-97E6-4DA3-B4EF-C1999BAA5BA7}" uniqueName="10" name="Order Quantities" queryTableFieldId="10"/>
    <tableColumn id="11" xr3:uid="{C28647E9-60A5-4FA4-A33C-FD9B741DB64E}" uniqueName="11" name="Shipping Times" queryTableFieldId="11"/>
    <tableColumn id="12" xr3:uid="{93D9EC8B-3C3A-4155-9BBC-556C18C9517E}" uniqueName="12" name="Shipping Carriers" queryTableFieldId="12" dataDxfId="414" totalsRowDxfId="413"/>
    <tableColumn id="13" xr3:uid="{F0BF911B-F294-4274-8707-43416D86E29B}" uniqueName="13" name="Shipping Costs" queryTableFieldId="13"/>
    <tableColumn id="14" xr3:uid="{BBB7B171-3C70-44ED-89F7-3716BE5A124A}" uniqueName="14" name="Supplier Name" queryTableFieldId="14" dataDxfId="412" totalsRowDxfId="411"/>
    <tableColumn id="15" xr3:uid="{A9A10373-BAA8-4023-B021-3C4AC523E381}" uniqueName="15" name="Location" queryTableFieldId="15" dataDxfId="410" totalsRowDxfId="409"/>
    <tableColumn id="16" xr3:uid="{5580D6F5-D671-455C-ABFB-4785576CDE2F}" uniqueName="16" name="Lead Time" queryTableFieldId="16"/>
    <tableColumn id="17" xr3:uid="{A5C2CC1D-E850-47C1-AD48-882E396E8CB6}" uniqueName="17" name="Production Volumes" queryTableFieldId="17"/>
    <tableColumn id="18" xr3:uid="{CFC234DC-E5C4-426D-91F7-DA7B9C40543B}" uniqueName="18" name="Manufacturing Lead Time" totalsRowFunction="average" queryTableFieldId="18"/>
    <tableColumn id="19" xr3:uid="{4B0DCDBF-99F8-4A8C-A5C0-B7E6CDB50FA9}" uniqueName="19" name="Manufacturing Costs" queryTableFieldId="19"/>
    <tableColumn id="20" xr3:uid="{957FBCD7-2BD5-48E2-808D-4AC01D773631}" uniqueName="20" name="Inspection Results" queryTableFieldId="20" dataDxfId="408" totalsRowDxfId="407"/>
    <tableColumn id="21" xr3:uid="{E1FD09BF-803D-415C-9F94-6588049858F1}" uniqueName="21" name="Defect Rates" queryTableFieldId="21"/>
    <tableColumn id="22" xr3:uid="{023378ED-9CE4-4AEE-B658-5F79BE0C5C22}" uniqueName="22" name="Transportation Modes" queryTableFieldId="22" dataDxfId="406" totalsRowDxfId="405"/>
    <tableColumn id="23" xr3:uid="{7760D8CA-18E7-4A68-BF65-EFF679A2B50A}" uniqueName="23" name="Routes" queryTableFieldId="23" dataDxfId="404" totalsRowDxfId="403"/>
    <tableColumn id="24" xr3:uid="{55615E53-E9CE-4D75-8F9B-494B1BC7DBF3}" uniqueName="24" name="Costs" queryTableFieldId="24"/>
    <tableColumn id="25" xr3:uid="{2E538AF6-E453-4BC1-BCD1-16F1D37F99F2}" uniqueName="25" name="COGS" totalsRowFunction="sum" queryTableFieldId="25" dataDxfId="390" totalsRowDxfId="389">
      <calculatedColumnFormula>Table1_1[[#This Row],[Shipping Costs]]+Table1_1[[#This Row],[Manufacturing Costs]]+Table1_1[[#This Row],[Costs]]</calculatedColumnFormula>
    </tableColumn>
    <tableColumn id="26" xr3:uid="{9FFEA573-34CE-41C6-878D-1F166A8AB63C}" uniqueName="26" name="Gross Profit" totalsRowFunction="sum" queryTableFieldId="26" dataDxfId="388" totalsRowDxfId="387">
      <calculatedColumnFormula>Table1_1[[#This Row],[Revenue Generated]]-Table1_1[[#This Row],[COGS]]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4C6A0-5E38-4633-886C-E62E41AA9D20}">
  <dimension ref="A1:X101"/>
  <sheetViews>
    <sheetView workbookViewId="0"/>
  </sheetViews>
  <sheetFormatPr defaultRowHeight="14.4" x14ac:dyDescent="0.3"/>
  <cols>
    <col min="1" max="1" width="14" bestFit="1" customWidth="1"/>
    <col min="2" max="2" width="6.6640625" bestFit="1" customWidth="1"/>
    <col min="3" max="3" width="12" bestFit="1" customWidth="1"/>
    <col min="4" max="4" width="12.6640625" bestFit="1" customWidth="1"/>
    <col min="5" max="5" width="24.44140625" bestFit="1" customWidth="1"/>
    <col min="6" max="6" width="19.5546875" bestFit="1" customWidth="1"/>
    <col min="7" max="7" width="24" bestFit="1" customWidth="1"/>
    <col min="8" max="8" width="13.5546875" bestFit="1" customWidth="1"/>
    <col min="9" max="9" width="12.5546875" bestFit="1" customWidth="1"/>
    <col min="10" max="10" width="17.109375" bestFit="1" customWidth="1"/>
    <col min="11" max="11" width="16" bestFit="1" customWidth="1"/>
    <col min="12" max="12" width="17.6640625" bestFit="1" customWidth="1"/>
    <col min="13" max="13" width="15.6640625" bestFit="1" customWidth="1"/>
    <col min="14" max="14" width="15.77734375" bestFit="1" customWidth="1"/>
    <col min="15" max="15" width="10.33203125" bestFit="1" customWidth="1"/>
    <col min="16" max="16" width="11.6640625" bestFit="1" customWidth="1"/>
    <col min="17" max="17" width="20.109375" bestFit="1" customWidth="1"/>
    <col min="18" max="18" width="24.109375" bestFit="1" customWidth="1"/>
    <col min="19" max="19" width="20.21875" bestFit="1" customWidth="1"/>
    <col min="20" max="20" width="18.5546875" bestFit="1" customWidth="1"/>
    <col min="21" max="21" width="13.6640625" bestFit="1" customWidth="1"/>
    <col min="22" max="22" width="21.33203125" bestFit="1" customWidth="1"/>
    <col min="24" max="24" width="12" bestFit="1" customWidth="1"/>
  </cols>
  <sheetData>
    <row r="1" spans="1:24" x14ac:dyDescent="0.3">
      <c r="A1" t="s">
        <v>139</v>
      </c>
      <c r="B1" t="s">
        <v>0</v>
      </c>
      <c r="C1" t="s">
        <v>1</v>
      </c>
      <c r="D1" t="s">
        <v>2</v>
      </c>
      <c r="E1" t="s">
        <v>140</v>
      </c>
      <c r="F1" t="s">
        <v>141</v>
      </c>
      <c r="G1" t="s">
        <v>142</v>
      </c>
      <c r="H1" t="s">
        <v>143</v>
      </c>
      <c r="I1" t="s">
        <v>144</v>
      </c>
      <c r="J1" t="s">
        <v>145</v>
      </c>
      <c r="K1" t="s">
        <v>146</v>
      </c>
      <c r="L1" t="s">
        <v>147</v>
      </c>
      <c r="M1" t="s">
        <v>148</v>
      </c>
      <c r="N1" t="s">
        <v>149</v>
      </c>
      <c r="O1" t="s">
        <v>3</v>
      </c>
      <c r="P1" t="s">
        <v>150</v>
      </c>
      <c r="Q1" t="s">
        <v>151</v>
      </c>
      <c r="R1" t="s">
        <v>152</v>
      </c>
      <c r="S1" t="s">
        <v>153</v>
      </c>
      <c r="T1" t="s">
        <v>154</v>
      </c>
      <c r="U1" t="s">
        <v>155</v>
      </c>
      <c r="V1" t="s">
        <v>156</v>
      </c>
      <c r="W1" t="s">
        <v>4</v>
      </c>
      <c r="X1" t="s">
        <v>5</v>
      </c>
    </row>
    <row r="2" spans="1:24" x14ac:dyDescent="0.3">
      <c r="A2" t="s">
        <v>157</v>
      </c>
      <c r="B2" t="s">
        <v>6</v>
      </c>
      <c r="C2">
        <v>69.808005542115694</v>
      </c>
      <c r="D2">
        <v>55</v>
      </c>
      <c r="E2">
        <v>802</v>
      </c>
      <c r="F2">
        <v>8661.9967923923796</v>
      </c>
      <c r="G2" t="s">
        <v>158</v>
      </c>
      <c r="H2">
        <v>58</v>
      </c>
      <c r="I2">
        <v>7</v>
      </c>
      <c r="J2">
        <v>96</v>
      </c>
      <c r="K2">
        <v>4</v>
      </c>
      <c r="L2" t="s">
        <v>7</v>
      </c>
      <c r="M2">
        <v>2.9565721394308002</v>
      </c>
      <c r="N2" t="s">
        <v>8</v>
      </c>
      <c r="O2" t="s">
        <v>9</v>
      </c>
      <c r="P2">
        <v>29</v>
      </c>
      <c r="Q2">
        <v>215</v>
      </c>
      <c r="R2">
        <v>29</v>
      </c>
      <c r="S2">
        <v>46.279879240508301</v>
      </c>
      <c r="T2" t="s">
        <v>10</v>
      </c>
      <c r="U2">
        <v>0.226410360849925</v>
      </c>
      <c r="V2" t="s">
        <v>11</v>
      </c>
      <c r="W2" t="s">
        <v>12</v>
      </c>
      <c r="X2">
        <v>187.75207545920301</v>
      </c>
    </row>
    <row r="3" spans="1:24" x14ac:dyDescent="0.3">
      <c r="A3" t="s">
        <v>159</v>
      </c>
      <c r="B3" t="s">
        <v>13</v>
      </c>
      <c r="C3">
        <v>14.8435232750843</v>
      </c>
      <c r="D3">
        <v>95</v>
      </c>
      <c r="E3">
        <v>736</v>
      </c>
      <c r="F3">
        <v>7460.9000654458396</v>
      </c>
      <c r="G3" t="s">
        <v>14</v>
      </c>
      <c r="H3">
        <v>53</v>
      </c>
      <c r="I3">
        <v>30</v>
      </c>
      <c r="J3">
        <v>37</v>
      </c>
      <c r="K3">
        <v>2</v>
      </c>
      <c r="L3" t="s">
        <v>15</v>
      </c>
      <c r="M3">
        <v>9.7165747714313095</v>
      </c>
      <c r="N3" t="s">
        <v>8</v>
      </c>
      <c r="O3" t="s">
        <v>9</v>
      </c>
      <c r="P3">
        <v>23</v>
      </c>
      <c r="Q3">
        <v>517</v>
      </c>
      <c r="R3">
        <v>30</v>
      </c>
      <c r="S3">
        <v>33.616768953730002</v>
      </c>
      <c r="T3" t="s">
        <v>10</v>
      </c>
      <c r="U3">
        <v>4.8540680263886999</v>
      </c>
      <c r="V3" t="s">
        <v>11</v>
      </c>
      <c r="W3" t="s">
        <v>12</v>
      </c>
      <c r="X3">
        <v>503.06557914966902</v>
      </c>
    </row>
    <row r="4" spans="1:24" x14ac:dyDescent="0.3">
      <c r="A4" t="s">
        <v>157</v>
      </c>
      <c r="B4" t="s">
        <v>16</v>
      </c>
      <c r="C4">
        <v>11.319683293090501</v>
      </c>
      <c r="D4">
        <v>34</v>
      </c>
      <c r="E4">
        <v>8</v>
      </c>
      <c r="F4">
        <v>9577.7496258687297</v>
      </c>
      <c r="G4" t="s">
        <v>17</v>
      </c>
      <c r="H4">
        <v>1</v>
      </c>
      <c r="I4">
        <v>10</v>
      </c>
      <c r="J4">
        <v>88</v>
      </c>
      <c r="K4">
        <v>2</v>
      </c>
      <c r="L4" t="s">
        <v>7</v>
      </c>
      <c r="M4">
        <v>8.0544792617321495</v>
      </c>
      <c r="N4" t="s">
        <v>18</v>
      </c>
      <c r="O4" t="s">
        <v>9</v>
      </c>
      <c r="P4">
        <v>12</v>
      </c>
      <c r="Q4">
        <v>971</v>
      </c>
      <c r="R4">
        <v>27</v>
      </c>
      <c r="S4">
        <v>30.6880193482842</v>
      </c>
      <c r="T4" t="s">
        <v>10</v>
      </c>
      <c r="U4">
        <v>4.5805926191992201</v>
      </c>
      <c r="V4" t="s">
        <v>19</v>
      </c>
      <c r="W4" t="s">
        <v>20</v>
      </c>
      <c r="X4">
        <v>141.920281771519</v>
      </c>
    </row>
    <row r="5" spans="1:24" x14ac:dyDescent="0.3">
      <c r="A5" t="s">
        <v>159</v>
      </c>
      <c r="B5" t="s">
        <v>21</v>
      </c>
      <c r="C5">
        <v>61.1633430164377</v>
      </c>
      <c r="D5">
        <v>68</v>
      </c>
      <c r="E5">
        <v>83</v>
      </c>
      <c r="F5">
        <v>7766.8364256852301</v>
      </c>
      <c r="G5" t="s">
        <v>158</v>
      </c>
      <c r="H5">
        <v>23</v>
      </c>
      <c r="I5">
        <v>13</v>
      </c>
      <c r="J5">
        <v>59</v>
      </c>
      <c r="K5">
        <v>6</v>
      </c>
      <c r="L5" t="s">
        <v>22</v>
      </c>
      <c r="M5">
        <v>1.7295685635434199</v>
      </c>
      <c r="N5" t="s">
        <v>23</v>
      </c>
      <c r="O5" t="s">
        <v>24</v>
      </c>
      <c r="P5">
        <v>24</v>
      </c>
      <c r="Q5">
        <v>937</v>
      </c>
      <c r="R5">
        <v>18</v>
      </c>
      <c r="S5">
        <v>35.624741397125</v>
      </c>
      <c r="T5" t="s">
        <v>25</v>
      </c>
      <c r="U5">
        <v>4.7466486206477496</v>
      </c>
      <c r="V5" t="s">
        <v>26</v>
      </c>
      <c r="W5" t="s">
        <v>27</v>
      </c>
      <c r="X5">
        <v>254.776159219286</v>
      </c>
    </row>
    <row r="6" spans="1:24" x14ac:dyDescent="0.3">
      <c r="A6" t="s">
        <v>159</v>
      </c>
      <c r="B6" t="s">
        <v>28</v>
      </c>
      <c r="C6">
        <v>4.8054960363458896</v>
      </c>
      <c r="D6">
        <v>26</v>
      </c>
      <c r="E6">
        <v>871</v>
      </c>
      <c r="F6">
        <v>2686.50515156744</v>
      </c>
      <c r="G6" t="s">
        <v>158</v>
      </c>
      <c r="H6">
        <v>5</v>
      </c>
      <c r="I6">
        <v>3</v>
      </c>
      <c r="J6">
        <v>56</v>
      </c>
      <c r="K6">
        <v>8</v>
      </c>
      <c r="L6" t="s">
        <v>15</v>
      </c>
      <c r="M6">
        <v>3.8905479158706702</v>
      </c>
      <c r="N6" t="s">
        <v>18</v>
      </c>
      <c r="O6" t="s">
        <v>29</v>
      </c>
      <c r="P6">
        <v>5</v>
      </c>
      <c r="Q6">
        <v>414</v>
      </c>
      <c r="R6">
        <v>3</v>
      </c>
      <c r="S6">
        <v>92.065160598712794</v>
      </c>
      <c r="T6" t="s">
        <v>25</v>
      </c>
      <c r="U6">
        <v>3.1455795228330001</v>
      </c>
      <c r="V6" t="s">
        <v>19</v>
      </c>
      <c r="W6" t="s">
        <v>27</v>
      </c>
      <c r="X6">
        <v>923.44063171192204</v>
      </c>
    </row>
    <row r="7" spans="1:24" x14ac:dyDescent="0.3">
      <c r="A7" t="s">
        <v>157</v>
      </c>
      <c r="B7" t="s">
        <v>30</v>
      </c>
      <c r="C7">
        <v>1.6999760138659299</v>
      </c>
      <c r="D7">
        <v>87</v>
      </c>
      <c r="E7">
        <v>147</v>
      </c>
      <c r="F7">
        <v>2828.3487459757498</v>
      </c>
      <c r="G7" t="s">
        <v>158</v>
      </c>
      <c r="H7">
        <v>90</v>
      </c>
      <c r="I7">
        <v>27</v>
      </c>
      <c r="J7">
        <v>66</v>
      </c>
      <c r="K7">
        <v>3</v>
      </c>
      <c r="L7" t="s">
        <v>7</v>
      </c>
      <c r="M7">
        <v>4.4440988643822896</v>
      </c>
      <c r="N7" t="s">
        <v>31</v>
      </c>
      <c r="O7" t="s">
        <v>32</v>
      </c>
      <c r="P7">
        <v>10</v>
      </c>
      <c r="Q7">
        <v>104</v>
      </c>
      <c r="R7">
        <v>17</v>
      </c>
      <c r="S7">
        <v>56.766475557431797</v>
      </c>
      <c r="T7" t="s">
        <v>25</v>
      </c>
      <c r="U7">
        <v>2.7791935115711599</v>
      </c>
      <c r="V7" t="s">
        <v>11</v>
      </c>
      <c r="W7" t="s">
        <v>27</v>
      </c>
      <c r="X7">
        <v>235.461236735537</v>
      </c>
    </row>
    <row r="8" spans="1:24" x14ac:dyDescent="0.3">
      <c r="A8" t="s">
        <v>159</v>
      </c>
      <c r="B8" t="s">
        <v>33</v>
      </c>
      <c r="C8">
        <v>4.0783328631079403</v>
      </c>
      <c r="D8">
        <v>48</v>
      </c>
      <c r="E8">
        <v>65</v>
      </c>
      <c r="F8">
        <v>7823.4765595317303</v>
      </c>
      <c r="G8" t="s">
        <v>34</v>
      </c>
      <c r="H8">
        <v>11</v>
      </c>
      <c r="I8">
        <v>15</v>
      </c>
      <c r="J8">
        <v>58</v>
      </c>
      <c r="K8">
        <v>8</v>
      </c>
      <c r="L8" t="s">
        <v>22</v>
      </c>
      <c r="M8">
        <v>3.8807633029519999</v>
      </c>
      <c r="N8" t="s">
        <v>8</v>
      </c>
      <c r="O8" t="s">
        <v>24</v>
      </c>
      <c r="P8">
        <v>14</v>
      </c>
      <c r="Q8">
        <v>314</v>
      </c>
      <c r="R8">
        <v>24</v>
      </c>
      <c r="S8">
        <v>1.0850685695870601</v>
      </c>
      <c r="T8" t="s">
        <v>10</v>
      </c>
      <c r="U8">
        <v>1.0009106193041299</v>
      </c>
      <c r="V8" t="s">
        <v>35</v>
      </c>
      <c r="W8" t="s">
        <v>27</v>
      </c>
      <c r="X8">
        <v>134.36909686103101</v>
      </c>
    </row>
    <row r="9" spans="1:24" x14ac:dyDescent="0.3">
      <c r="A9" t="s">
        <v>160</v>
      </c>
      <c r="B9" t="s">
        <v>36</v>
      </c>
      <c r="C9">
        <v>42.958384382459997</v>
      </c>
      <c r="D9">
        <v>59</v>
      </c>
      <c r="E9">
        <v>426</v>
      </c>
      <c r="F9">
        <v>8496.1038130898305</v>
      </c>
      <c r="G9" t="s">
        <v>14</v>
      </c>
      <c r="H9">
        <v>93</v>
      </c>
      <c r="I9">
        <v>17</v>
      </c>
      <c r="J9">
        <v>11</v>
      </c>
      <c r="K9">
        <v>1</v>
      </c>
      <c r="L9" t="s">
        <v>7</v>
      </c>
      <c r="M9">
        <v>2.3483387844177801</v>
      </c>
      <c r="N9" t="s">
        <v>31</v>
      </c>
      <c r="O9" t="s">
        <v>32</v>
      </c>
      <c r="P9">
        <v>22</v>
      </c>
      <c r="Q9">
        <v>564</v>
      </c>
      <c r="R9">
        <v>1</v>
      </c>
      <c r="S9">
        <v>99.466108603599096</v>
      </c>
      <c r="T9" t="s">
        <v>25</v>
      </c>
      <c r="U9">
        <v>0.39817718685065001</v>
      </c>
      <c r="V9" t="s">
        <v>11</v>
      </c>
      <c r="W9" t="s">
        <v>20</v>
      </c>
      <c r="X9">
        <v>802.05631181755803</v>
      </c>
    </row>
    <row r="10" spans="1:24" x14ac:dyDescent="0.3">
      <c r="A10" t="s">
        <v>160</v>
      </c>
      <c r="B10" t="s">
        <v>37</v>
      </c>
      <c r="C10">
        <v>68.717596748527299</v>
      </c>
      <c r="D10">
        <v>78</v>
      </c>
      <c r="E10">
        <v>150</v>
      </c>
      <c r="F10">
        <v>7517.3632106311197</v>
      </c>
      <c r="G10" t="s">
        <v>14</v>
      </c>
      <c r="H10">
        <v>5</v>
      </c>
      <c r="I10">
        <v>10</v>
      </c>
      <c r="J10">
        <v>15</v>
      </c>
      <c r="K10">
        <v>7</v>
      </c>
      <c r="L10" t="s">
        <v>22</v>
      </c>
      <c r="M10">
        <v>3.4047338570830199</v>
      </c>
      <c r="N10" t="s">
        <v>31</v>
      </c>
      <c r="O10" t="s">
        <v>9</v>
      </c>
      <c r="P10">
        <v>13</v>
      </c>
      <c r="Q10">
        <v>769</v>
      </c>
      <c r="R10">
        <v>8</v>
      </c>
      <c r="S10">
        <v>11.423027139565599</v>
      </c>
      <c r="T10" t="s">
        <v>10</v>
      </c>
      <c r="U10">
        <v>2.7098626911099601</v>
      </c>
      <c r="V10" t="s">
        <v>35</v>
      </c>
      <c r="W10" t="s">
        <v>12</v>
      </c>
      <c r="X10">
        <v>505.55713422546398</v>
      </c>
    </row>
    <row r="11" spans="1:24" x14ac:dyDescent="0.3">
      <c r="A11" t="s">
        <v>159</v>
      </c>
      <c r="B11" t="s">
        <v>38</v>
      </c>
      <c r="C11">
        <v>64.0157329412785</v>
      </c>
      <c r="D11">
        <v>35</v>
      </c>
      <c r="E11">
        <v>980</v>
      </c>
      <c r="F11">
        <v>4971.1459875855498</v>
      </c>
      <c r="G11" t="s">
        <v>17</v>
      </c>
      <c r="H11">
        <v>14</v>
      </c>
      <c r="I11">
        <v>27</v>
      </c>
      <c r="J11">
        <v>83</v>
      </c>
      <c r="K11">
        <v>1</v>
      </c>
      <c r="L11" t="s">
        <v>15</v>
      </c>
      <c r="M11">
        <v>7.1666452910482104</v>
      </c>
      <c r="N11" t="s">
        <v>39</v>
      </c>
      <c r="O11" t="s">
        <v>40</v>
      </c>
      <c r="P11">
        <v>29</v>
      </c>
      <c r="Q11">
        <v>963</v>
      </c>
      <c r="R11">
        <v>23</v>
      </c>
      <c r="S11">
        <v>47.957601634951502</v>
      </c>
      <c r="T11" t="s">
        <v>10</v>
      </c>
      <c r="U11">
        <v>3.8446144787675798</v>
      </c>
      <c r="V11" t="s">
        <v>26</v>
      </c>
      <c r="W11" t="s">
        <v>12</v>
      </c>
      <c r="X11">
        <v>995.92946149864099</v>
      </c>
    </row>
    <row r="12" spans="1:24" x14ac:dyDescent="0.3">
      <c r="A12" t="s">
        <v>159</v>
      </c>
      <c r="B12" t="s">
        <v>41</v>
      </c>
      <c r="C12">
        <v>15.707795681912099</v>
      </c>
      <c r="D12">
        <v>11</v>
      </c>
      <c r="E12">
        <v>996</v>
      </c>
      <c r="F12">
        <v>2330.9658020919401</v>
      </c>
      <c r="G12" t="s">
        <v>158</v>
      </c>
      <c r="H12">
        <v>51</v>
      </c>
      <c r="I12">
        <v>13</v>
      </c>
      <c r="J12">
        <v>80</v>
      </c>
      <c r="K12">
        <v>2</v>
      </c>
      <c r="L12" t="s">
        <v>22</v>
      </c>
      <c r="M12">
        <v>8.6732112112786108</v>
      </c>
      <c r="N12" t="s">
        <v>23</v>
      </c>
      <c r="O12" t="s">
        <v>24</v>
      </c>
      <c r="P12">
        <v>18</v>
      </c>
      <c r="Q12">
        <v>830</v>
      </c>
      <c r="R12">
        <v>5</v>
      </c>
      <c r="S12">
        <v>96.527352785310896</v>
      </c>
      <c r="T12" t="s">
        <v>42</v>
      </c>
      <c r="U12">
        <v>1.72731392835594</v>
      </c>
      <c r="V12" t="s">
        <v>11</v>
      </c>
      <c r="W12" t="s">
        <v>12</v>
      </c>
      <c r="X12">
        <v>806.10317770292295</v>
      </c>
    </row>
    <row r="13" spans="1:24" x14ac:dyDescent="0.3">
      <c r="A13" t="s">
        <v>159</v>
      </c>
      <c r="B13" t="s">
        <v>43</v>
      </c>
      <c r="C13">
        <v>90.635459982288594</v>
      </c>
      <c r="D13">
        <v>95</v>
      </c>
      <c r="E13">
        <v>960</v>
      </c>
      <c r="F13">
        <v>6099.9441155814502</v>
      </c>
      <c r="G13" t="s">
        <v>14</v>
      </c>
      <c r="H13">
        <v>46</v>
      </c>
      <c r="I13">
        <v>23</v>
      </c>
      <c r="J13">
        <v>60</v>
      </c>
      <c r="K13">
        <v>1</v>
      </c>
      <c r="L13" t="s">
        <v>15</v>
      </c>
      <c r="M13">
        <v>4.5239431243166601</v>
      </c>
      <c r="N13" t="s">
        <v>39</v>
      </c>
      <c r="O13" t="s">
        <v>24</v>
      </c>
      <c r="P13">
        <v>28</v>
      </c>
      <c r="Q13">
        <v>362</v>
      </c>
      <c r="R13">
        <v>11</v>
      </c>
      <c r="S13">
        <v>27.5923630866636</v>
      </c>
      <c r="T13" t="s">
        <v>10</v>
      </c>
      <c r="U13">
        <v>2.1169821372994301E-2</v>
      </c>
      <c r="V13" t="s">
        <v>19</v>
      </c>
      <c r="W13" t="s">
        <v>27</v>
      </c>
      <c r="X13">
        <v>126.72303340940699</v>
      </c>
    </row>
    <row r="14" spans="1:24" x14ac:dyDescent="0.3">
      <c r="A14" t="s">
        <v>157</v>
      </c>
      <c r="B14" t="s">
        <v>44</v>
      </c>
      <c r="C14">
        <v>71.213389075359999</v>
      </c>
      <c r="D14">
        <v>41</v>
      </c>
      <c r="E14">
        <v>336</v>
      </c>
      <c r="F14">
        <v>2873.74144602144</v>
      </c>
      <c r="G14" t="s">
        <v>17</v>
      </c>
      <c r="H14">
        <v>100</v>
      </c>
      <c r="I14">
        <v>30</v>
      </c>
      <c r="J14">
        <v>85</v>
      </c>
      <c r="K14">
        <v>4</v>
      </c>
      <c r="L14" t="s">
        <v>15</v>
      </c>
      <c r="M14">
        <v>1.32527401018452</v>
      </c>
      <c r="N14" t="s">
        <v>31</v>
      </c>
      <c r="O14" t="s">
        <v>24</v>
      </c>
      <c r="P14">
        <v>3</v>
      </c>
      <c r="Q14">
        <v>563</v>
      </c>
      <c r="R14">
        <v>3</v>
      </c>
      <c r="S14">
        <v>32.321286213424003</v>
      </c>
      <c r="T14" t="s">
        <v>25</v>
      </c>
      <c r="U14">
        <v>2.1612537475559099</v>
      </c>
      <c r="V14" t="s">
        <v>11</v>
      </c>
      <c r="W14" t="s">
        <v>12</v>
      </c>
      <c r="X14">
        <v>402.96878907376998</v>
      </c>
    </row>
    <row r="15" spans="1:24" x14ac:dyDescent="0.3">
      <c r="A15" t="s">
        <v>159</v>
      </c>
      <c r="B15" t="s">
        <v>45</v>
      </c>
      <c r="C15">
        <v>16.160393317379899</v>
      </c>
      <c r="D15">
        <v>5</v>
      </c>
      <c r="E15">
        <v>249</v>
      </c>
      <c r="F15">
        <v>4052.7384162378598</v>
      </c>
      <c r="G15" t="s">
        <v>34</v>
      </c>
      <c r="H15">
        <v>80</v>
      </c>
      <c r="I15">
        <v>8</v>
      </c>
      <c r="J15">
        <v>48</v>
      </c>
      <c r="K15">
        <v>9</v>
      </c>
      <c r="L15" t="s">
        <v>15</v>
      </c>
      <c r="M15">
        <v>9.5372830611083295</v>
      </c>
      <c r="N15" t="s">
        <v>23</v>
      </c>
      <c r="O15" t="s">
        <v>32</v>
      </c>
      <c r="P15">
        <v>23</v>
      </c>
      <c r="Q15">
        <v>173</v>
      </c>
      <c r="R15">
        <v>10</v>
      </c>
      <c r="S15">
        <v>97.829050110173199</v>
      </c>
      <c r="T15" t="s">
        <v>10</v>
      </c>
      <c r="U15">
        <v>1.63107423007153</v>
      </c>
      <c r="V15" t="s">
        <v>11</v>
      </c>
      <c r="W15" t="s">
        <v>12</v>
      </c>
      <c r="X15">
        <v>547.24100516096803</v>
      </c>
    </row>
    <row r="16" spans="1:24" x14ac:dyDescent="0.3">
      <c r="A16" t="s">
        <v>159</v>
      </c>
      <c r="B16" t="s">
        <v>46</v>
      </c>
      <c r="C16">
        <v>99.171328638624104</v>
      </c>
      <c r="D16">
        <v>26</v>
      </c>
      <c r="E16">
        <v>562</v>
      </c>
      <c r="F16">
        <v>8653.5709264697998</v>
      </c>
      <c r="G16" t="s">
        <v>158</v>
      </c>
      <c r="H16">
        <v>54</v>
      </c>
      <c r="I16">
        <v>29</v>
      </c>
      <c r="J16">
        <v>78</v>
      </c>
      <c r="K16">
        <v>5</v>
      </c>
      <c r="L16" t="s">
        <v>7</v>
      </c>
      <c r="M16">
        <v>2.0397701894493299</v>
      </c>
      <c r="N16" t="s">
        <v>18</v>
      </c>
      <c r="O16" t="s">
        <v>24</v>
      </c>
      <c r="P16">
        <v>25</v>
      </c>
      <c r="Q16">
        <v>558</v>
      </c>
      <c r="R16">
        <v>14</v>
      </c>
      <c r="S16">
        <v>5.7914366298629796</v>
      </c>
      <c r="T16" t="s">
        <v>10</v>
      </c>
      <c r="U16">
        <v>0.100682851565093</v>
      </c>
      <c r="V16" t="s">
        <v>19</v>
      </c>
      <c r="W16" t="s">
        <v>12</v>
      </c>
      <c r="X16">
        <v>929.23528996088896</v>
      </c>
    </row>
    <row r="17" spans="1:24" x14ac:dyDescent="0.3">
      <c r="A17" t="s">
        <v>159</v>
      </c>
      <c r="B17" t="s">
        <v>47</v>
      </c>
      <c r="C17">
        <v>36.989244928626903</v>
      </c>
      <c r="D17">
        <v>94</v>
      </c>
      <c r="E17">
        <v>469</v>
      </c>
      <c r="F17">
        <v>5442.0867853976697</v>
      </c>
      <c r="G17" t="s">
        <v>158</v>
      </c>
      <c r="H17">
        <v>9</v>
      </c>
      <c r="I17">
        <v>8</v>
      </c>
      <c r="J17">
        <v>69</v>
      </c>
      <c r="K17">
        <v>7</v>
      </c>
      <c r="L17" t="s">
        <v>7</v>
      </c>
      <c r="M17">
        <v>2.4220397232752</v>
      </c>
      <c r="N17" t="s">
        <v>18</v>
      </c>
      <c r="O17" t="s">
        <v>32</v>
      </c>
      <c r="P17">
        <v>14</v>
      </c>
      <c r="Q17">
        <v>580</v>
      </c>
      <c r="R17">
        <v>7</v>
      </c>
      <c r="S17">
        <v>97.121281751474299</v>
      </c>
      <c r="T17" t="s">
        <v>42</v>
      </c>
      <c r="U17">
        <v>2.2644057611985402</v>
      </c>
      <c r="V17" t="s">
        <v>35</v>
      </c>
      <c r="W17" t="s">
        <v>12</v>
      </c>
      <c r="X17">
        <v>127.861800001625</v>
      </c>
    </row>
    <row r="18" spans="1:24" x14ac:dyDescent="0.3">
      <c r="A18" t="s">
        <v>159</v>
      </c>
      <c r="B18" t="s">
        <v>48</v>
      </c>
      <c r="C18">
        <v>7.5471721097912701</v>
      </c>
      <c r="D18">
        <v>74</v>
      </c>
      <c r="E18">
        <v>280</v>
      </c>
      <c r="F18">
        <v>6453.7979681762799</v>
      </c>
      <c r="G18" t="s">
        <v>14</v>
      </c>
      <c r="H18">
        <v>2</v>
      </c>
      <c r="I18">
        <v>5</v>
      </c>
      <c r="J18">
        <v>78</v>
      </c>
      <c r="K18">
        <v>1</v>
      </c>
      <c r="L18" t="s">
        <v>7</v>
      </c>
      <c r="M18">
        <v>4.1913245857054999</v>
      </c>
      <c r="N18" t="s">
        <v>18</v>
      </c>
      <c r="O18" t="s">
        <v>32</v>
      </c>
      <c r="P18">
        <v>3</v>
      </c>
      <c r="Q18">
        <v>399</v>
      </c>
      <c r="R18">
        <v>21</v>
      </c>
      <c r="S18">
        <v>77.106342497849994</v>
      </c>
      <c r="T18" t="s">
        <v>42</v>
      </c>
      <c r="U18">
        <v>1.01256308925804</v>
      </c>
      <c r="V18" t="s">
        <v>19</v>
      </c>
      <c r="W18" t="s">
        <v>27</v>
      </c>
      <c r="X18">
        <v>865.52577977123997</v>
      </c>
    </row>
    <row r="19" spans="1:24" x14ac:dyDescent="0.3">
      <c r="A19" t="s">
        <v>160</v>
      </c>
      <c r="B19" t="s">
        <v>49</v>
      </c>
      <c r="C19">
        <v>81.462534369237005</v>
      </c>
      <c r="D19">
        <v>82</v>
      </c>
      <c r="E19">
        <v>126</v>
      </c>
      <c r="F19">
        <v>2629.39643484526</v>
      </c>
      <c r="G19" t="s">
        <v>14</v>
      </c>
      <c r="H19">
        <v>45</v>
      </c>
      <c r="I19">
        <v>17</v>
      </c>
      <c r="J19">
        <v>85</v>
      </c>
      <c r="K19">
        <v>9</v>
      </c>
      <c r="L19" t="s">
        <v>22</v>
      </c>
      <c r="M19">
        <v>3.5854189582323399</v>
      </c>
      <c r="N19" t="s">
        <v>18</v>
      </c>
      <c r="O19" t="s">
        <v>40</v>
      </c>
      <c r="P19">
        <v>7</v>
      </c>
      <c r="Q19">
        <v>453</v>
      </c>
      <c r="R19">
        <v>16</v>
      </c>
      <c r="S19">
        <v>47.679680368355299</v>
      </c>
      <c r="T19" t="s">
        <v>25</v>
      </c>
      <c r="U19">
        <v>0.102020754918176</v>
      </c>
      <c r="V19" t="s">
        <v>19</v>
      </c>
      <c r="W19" t="s">
        <v>20</v>
      </c>
      <c r="X19">
        <v>670.93439079241</v>
      </c>
    </row>
    <row r="20" spans="1:24" x14ac:dyDescent="0.3">
      <c r="A20" t="s">
        <v>157</v>
      </c>
      <c r="B20" t="s">
        <v>50</v>
      </c>
      <c r="C20">
        <v>36.4436277704609</v>
      </c>
      <c r="D20">
        <v>23</v>
      </c>
      <c r="E20">
        <v>620</v>
      </c>
      <c r="F20">
        <v>9364.6735050761708</v>
      </c>
      <c r="G20" t="s">
        <v>17</v>
      </c>
      <c r="H20">
        <v>10</v>
      </c>
      <c r="I20">
        <v>10</v>
      </c>
      <c r="J20">
        <v>46</v>
      </c>
      <c r="K20">
        <v>8</v>
      </c>
      <c r="L20" t="s">
        <v>22</v>
      </c>
      <c r="M20">
        <v>4.3392247141107001</v>
      </c>
      <c r="N20" t="s">
        <v>39</v>
      </c>
      <c r="O20" t="s">
        <v>24</v>
      </c>
      <c r="P20">
        <v>18</v>
      </c>
      <c r="Q20">
        <v>374</v>
      </c>
      <c r="R20">
        <v>17</v>
      </c>
      <c r="S20">
        <v>27.107980854843898</v>
      </c>
      <c r="T20" t="s">
        <v>10</v>
      </c>
      <c r="U20">
        <v>2.2319391107292601</v>
      </c>
      <c r="V20" t="s">
        <v>35</v>
      </c>
      <c r="W20" t="s">
        <v>27</v>
      </c>
      <c r="X20">
        <v>593.48025872065102</v>
      </c>
    </row>
    <row r="21" spans="1:24" x14ac:dyDescent="0.3">
      <c r="A21" t="s">
        <v>159</v>
      </c>
      <c r="B21" t="s">
        <v>51</v>
      </c>
      <c r="C21">
        <v>51.123870087964697</v>
      </c>
      <c r="D21">
        <v>100</v>
      </c>
      <c r="E21">
        <v>187</v>
      </c>
      <c r="F21">
        <v>2553.4955849912099</v>
      </c>
      <c r="G21" t="s">
        <v>17</v>
      </c>
      <c r="H21">
        <v>48</v>
      </c>
      <c r="I21">
        <v>11</v>
      </c>
      <c r="J21">
        <v>94</v>
      </c>
      <c r="K21">
        <v>3</v>
      </c>
      <c r="L21" t="s">
        <v>15</v>
      </c>
      <c r="M21">
        <v>4.7426358828418698</v>
      </c>
      <c r="N21" t="s">
        <v>31</v>
      </c>
      <c r="O21" t="s">
        <v>40</v>
      </c>
      <c r="P21">
        <v>20</v>
      </c>
      <c r="Q21">
        <v>694</v>
      </c>
      <c r="R21">
        <v>16</v>
      </c>
      <c r="S21">
        <v>82.373320587990193</v>
      </c>
      <c r="T21" t="s">
        <v>25</v>
      </c>
      <c r="U21">
        <v>3.64645086541702</v>
      </c>
      <c r="V21" t="s">
        <v>11</v>
      </c>
      <c r="W21" t="s">
        <v>20</v>
      </c>
      <c r="X21">
        <v>477.30763109090299</v>
      </c>
    </row>
    <row r="22" spans="1:24" x14ac:dyDescent="0.3">
      <c r="A22" t="s">
        <v>159</v>
      </c>
      <c r="B22" t="s">
        <v>52</v>
      </c>
      <c r="C22">
        <v>96.341072439963298</v>
      </c>
      <c r="D22">
        <v>22</v>
      </c>
      <c r="E22">
        <v>320</v>
      </c>
      <c r="F22">
        <v>8128.0276968511898</v>
      </c>
      <c r="G22" t="s">
        <v>17</v>
      </c>
      <c r="H22">
        <v>27</v>
      </c>
      <c r="I22">
        <v>12</v>
      </c>
      <c r="J22">
        <v>68</v>
      </c>
      <c r="K22">
        <v>6</v>
      </c>
      <c r="L22" t="s">
        <v>15</v>
      </c>
      <c r="M22">
        <v>8.8783346509268402</v>
      </c>
      <c r="N22" t="s">
        <v>18</v>
      </c>
      <c r="O22" t="s">
        <v>40</v>
      </c>
      <c r="P22">
        <v>29</v>
      </c>
      <c r="Q22">
        <v>309</v>
      </c>
      <c r="R22">
        <v>6</v>
      </c>
      <c r="S22">
        <v>65.686259608488598</v>
      </c>
      <c r="T22" t="s">
        <v>42</v>
      </c>
      <c r="U22">
        <v>4.2314165735345304</v>
      </c>
      <c r="V22" t="s">
        <v>19</v>
      </c>
      <c r="W22" t="s">
        <v>12</v>
      </c>
      <c r="X22">
        <v>493.871215316205</v>
      </c>
    </row>
    <row r="23" spans="1:24" x14ac:dyDescent="0.3">
      <c r="A23" t="s">
        <v>160</v>
      </c>
      <c r="B23" t="s">
        <v>53</v>
      </c>
      <c r="C23">
        <v>84.893868984950799</v>
      </c>
      <c r="D23">
        <v>60</v>
      </c>
      <c r="E23">
        <v>601</v>
      </c>
      <c r="F23">
        <v>7087.0526963574302</v>
      </c>
      <c r="G23" t="s">
        <v>17</v>
      </c>
      <c r="H23">
        <v>69</v>
      </c>
      <c r="I23">
        <v>25</v>
      </c>
      <c r="J23">
        <v>7</v>
      </c>
      <c r="K23">
        <v>6</v>
      </c>
      <c r="L23" t="s">
        <v>7</v>
      </c>
      <c r="M23">
        <v>6.0378837692182898</v>
      </c>
      <c r="N23" t="s">
        <v>23</v>
      </c>
      <c r="O23" t="s">
        <v>40</v>
      </c>
      <c r="P23">
        <v>19</v>
      </c>
      <c r="Q23">
        <v>791</v>
      </c>
      <c r="R23">
        <v>4</v>
      </c>
      <c r="S23">
        <v>61.735728954160898</v>
      </c>
      <c r="T23" t="s">
        <v>10</v>
      </c>
      <c r="U23">
        <v>1.8607567631014899E-2</v>
      </c>
      <c r="V23" t="s">
        <v>19</v>
      </c>
      <c r="W23" t="s">
        <v>20</v>
      </c>
      <c r="X23">
        <v>523.36091472015801</v>
      </c>
    </row>
    <row r="24" spans="1:24" x14ac:dyDescent="0.3">
      <c r="A24" t="s">
        <v>157</v>
      </c>
      <c r="B24" t="s">
        <v>54</v>
      </c>
      <c r="C24">
        <v>27.679780886501899</v>
      </c>
      <c r="D24">
        <v>55</v>
      </c>
      <c r="E24">
        <v>884</v>
      </c>
      <c r="F24">
        <v>2390.8078665561702</v>
      </c>
      <c r="G24" t="s">
        <v>17</v>
      </c>
      <c r="H24">
        <v>71</v>
      </c>
      <c r="I24">
        <v>1</v>
      </c>
      <c r="J24">
        <v>63</v>
      </c>
      <c r="K24">
        <v>10</v>
      </c>
      <c r="L24" t="s">
        <v>15</v>
      </c>
      <c r="M24">
        <v>9.5676489209230393</v>
      </c>
      <c r="N24" t="s">
        <v>31</v>
      </c>
      <c r="O24" t="s">
        <v>24</v>
      </c>
      <c r="P24">
        <v>22</v>
      </c>
      <c r="Q24">
        <v>780</v>
      </c>
      <c r="R24">
        <v>28</v>
      </c>
      <c r="S24">
        <v>50.120839612977299</v>
      </c>
      <c r="T24" t="s">
        <v>25</v>
      </c>
      <c r="U24">
        <v>2.5912754732111098</v>
      </c>
      <c r="V24" t="s">
        <v>26</v>
      </c>
      <c r="W24" t="s">
        <v>20</v>
      </c>
      <c r="X24">
        <v>205.57199582694699</v>
      </c>
    </row>
    <row r="25" spans="1:24" x14ac:dyDescent="0.3">
      <c r="A25" t="s">
        <v>160</v>
      </c>
      <c r="B25" t="s">
        <v>55</v>
      </c>
      <c r="C25">
        <v>4.3243411858641601</v>
      </c>
      <c r="D25">
        <v>30</v>
      </c>
      <c r="E25">
        <v>391</v>
      </c>
      <c r="F25">
        <v>8858.3675710114803</v>
      </c>
      <c r="G25" t="s">
        <v>17</v>
      </c>
      <c r="H25">
        <v>84</v>
      </c>
      <c r="I25">
        <v>5</v>
      </c>
      <c r="J25">
        <v>29</v>
      </c>
      <c r="K25">
        <v>7</v>
      </c>
      <c r="L25" t="s">
        <v>15</v>
      </c>
      <c r="M25">
        <v>2.92485760114555</v>
      </c>
      <c r="N25" t="s">
        <v>23</v>
      </c>
      <c r="O25" t="s">
        <v>24</v>
      </c>
      <c r="P25">
        <v>11</v>
      </c>
      <c r="Q25">
        <v>568</v>
      </c>
      <c r="R25">
        <v>29</v>
      </c>
      <c r="S25">
        <v>98.6099572427038</v>
      </c>
      <c r="T25" t="s">
        <v>10</v>
      </c>
      <c r="U25">
        <v>1.3422915627227301</v>
      </c>
      <c r="V25" t="s">
        <v>26</v>
      </c>
      <c r="W25" t="s">
        <v>27</v>
      </c>
      <c r="X25">
        <v>196.329446112412</v>
      </c>
    </row>
    <row r="26" spans="1:24" x14ac:dyDescent="0.3">
      <c r="A26" t="s">
        <v>157</v>
      </c>
      <c r="B26" t="s">
        <v>56</v>
      </c>
      <c r="C26">
        <v>4.1563083593111001</v>
      </c>
      <c r="D26">
        <v>32</v>
      </c>
      <c r="E26">
        <v>209</v>
      </c>
      <c r="F26">
        <v>9049.0778609398894</v>
      </c>
      <c r="G26" t="s">
        <v>34</v>
      </c>
      <c r="H26">
        <v>4</v>
      </c>
      <c r="I26">
        <v>26</v>
      </c>
      <c r="J26">
        <v>2</v>
      </c>
      <c r="K26">
        <v>8</v>
      </c>
      <c r="L26" t="s">
        <v>22</v>
      </c>
      <c r="M26">
        <v>9.7412916892843597</v>
      </c>
      <c r="N26" t="s">
        <v>39</v>
      </c>
      <c r="O26" t="s">
        <v>32</v>
      </c>
      <c r="P26">
        <v>28</v>
      </c>
      <c r="Q26">
        <v>447</v>
      </c>
      <c r="R26">
        <v>3</v>
      </c>
      <c r="S26">
        <v>40.382359702924802</v>
      </c>
      <c r="T26" t="s">
        <v>10</v>
      </c>
      <c r="U26">
        <v>3.69131029262872</v>
      </c>
      <c r="V26" t="s">
        <v>19</v>
      </c>
      <c r="W26" t="s">
        <v>27</v>
      </c>
      <c r="X26">
        <v>758.72477260293795</v>
      </c>
    </row>
    <row r="27" spans="1:24" x14ac:dyDescent="0.3">
      <c r="A27" t="s">
        <v>157</v>
      </c>
      <c r="B27" t="s">
        <v>57</v>
      </c>
      <c r="C27">
        <v>39.629343985092603</v>
      </c>
      <c r="D27">
        <v>73</v>
      </c>
      <c r="E27">
        <v>142</v>
      </c>
      <c r="F27">
        <v>2174.7770543506499</v>
      </c>
      <c r="G27" t="s">
        <v>34</v>
      </c>
      <c r="H27">
        <v>82</v>
      </c>
      <c r="I27">
        <v>11</v>
      </c>
      <c r="J27">
        <v>52</v>
      </c>
      <c r="K27">
        <v>3</v>
      </c>
      <c r="L27" t="s">
        <v>22</v>
      </c>
      <c r="M27">
        <v>2.2310736812817198</v>
      </c>
      <c r="N27" t="s">
        <v>31</v>
      </c>
      <c r="O27" t="s">
        <v>24</v>
      </c>
      <c r="P27">
        <v>19</v>
      </c>
      <c r="Q27">
        <v>934</v>
      </c>
      <c r="R27">
        <v>23</v>
      </c>
      <c r="S27">
        <v>78.280383118415301</v>
      </c>
      <c r="T27" t="s">
        <v>10</v>
      </c>
      <c r="U27">
        <v>3.79723121711418</v>
      </c>
      <c r="V27" t="s">
        <v>11</v>
      </c>
      <c r="W27" t="s">
        <v>12</v>
      </c>
      <c r="X27">
        <v>458.53594573920901</v>
      </c>
    </row>
    <row r="28" spans="1:24" x14ac:dyDescent="0.3">
      <c r="A28" t="s">
        <v>157</v>
      </c>
      <c r="B28" t="s">
        <v>58</v>
      </c>
      <c r="C28">
        <v>97.446946617892806</v>
      </c>
      <c r="D28">
        <v>9</v>
      </c>
      <c r="E28">
        <v>353</v>
      </c>
      <c r="F28">
        <v>3716.49332589403</v>
      </c>
      <c r="G28" t="s">
        <v>34</v>
      </c>
      <c r="H28">
        <v>59</v>
      </c>
      <c r="I28">
        <v>16</v>
      </c>
      <c r="J28">
        <v>48</v>
      </c>
      <c r="K28">
        <v>4</v>
      </c>
      <c r="L28" t="s">
        <v>7</v>
      </c>
      <c r="M28">
        <v>6.5075486210785503</v>
      </c>
      <c r="N28" t="s">
        <v>39</v>
      </c>
      <c r="O28" t="s">
        <v>32</v>
      </c>
      <c r="P28">
        <v>26</v>
      </c>
      <c r="Q28">
        <v>171</v>
      </c>
      <c r="R28">
        <v>4</v>
      </c>
      <c r="S28">
        <v>15.972229757181699</v>
      </c>
      <c r="T28" t="s">
        <v>42</v>
      </c>
      <c r="U28">
        <v>2.1193197367249201</v>
      </c>
      <c r="V28" t="s">
        <v>26</v>
      </c>
      <c r="W28" t="s">
        <v>27</v>
      </c>
      <c r="X28">
        <v>617.86691645837698</v>
      </c>
    </row>
    <row r="29" spans="1:24" x14ac:dyDescent="0.3">
      <c r="A29" t="s">
        <v>160</v>
      </c>
      <c r="B29" t="s">
        <v>59</v>
      </c>
      <c r="C29">
        <v>92.557360812401996</v>
      </c>
      <c r="D29">
        <v>42</v>
      </c>
      <c r="E29">
        <v>352</v>
      </c>
      <c r="F29">
        <v>2686.4572235759802</v>
      </c>
      <c r="G29" t="s">
        <v>17</v>
      </c>
      <c r="H29">
        <v>47</v>
      </c>
      <c r="I29">
        <v>9</v>
      </c>
      <c r="J29">
        <v>62</v>
      </c>
      <c r="K29">
        <v>8</v>
      </c>
      <c r="L29" t="s">
        <v>22</v>
      </c>
      <c r="M29">
        <v>7.4067509529980704</v>
      </c>
      <c r="N29" t="s">
        <v>23</v>
      </c>
      <c r="O29" t="s">
        <v>9</v>
      </c>
      <c r="P29">
        <v>25</v>
      </c>
      <c r="Q29">
        <v>291</v>
      </c>
      <c r="R29">
        <v>4</v>
      </c>
      <c r="S29">
        <v>10.5282450700421</v>
      </c>
      <c r="T29" t="s">
        <v>25</v>
      </c>
      <c r="U29">
        <v>2.8646678378833701</v>
      </c>
      <c r="V29" t="s">
        <v>35</v>
      </c>
      <c r="W29" t="s">
        <v>12</v>
      </c>
      <c r="X29">
        <v>762.45918215568304</v>
      </c>
    </row>
    <row r="30" spans="1:24" x14ac:dyDescent="0.3">
      <c r="A30" t="s">
        <v>160</v>
      </c>
      <c r="B30" t="s">
        <v>60</v>
      </c>
      <c r="C30">
        <v>2.3972747055971402</v>
      </c>
      <c r="D30">
        <v>12</v>
      </c>
      <c r="E30">
        <v>394</v>
      </c>
      <c r="F30">
        <v>6117.3246150839896</v>
      </c>
      <c r="G30" t="s">
        <v>14</v>
      </c>
      <c r="H30">
        <v>48</v>
      </c>
      <c r="I30">
        <v>15</v>
      </c>
      <c r="J30">
        <v>24</v>
      </c>
      <c r="K30">
        <v>4</v>
      </c>
      <c r="L30" t="s">
        <v>7</v>
      </c>
      <c r="M30">
        <v>9.8981405080692202</v>
      </c>
      <c r="N30" t="s">
        <v>18</v>
      </c>
      <c r="O30" t="s">
        <v>9</v>
      </c>
      <c r="P30">
        <v>13</v>
      </c>
      <c r="Q30">
        <v>171</v>
      </c>
      <c r="R30">
        <v>7</v>
      </c>
      <c r="S30">
        <v>59.429381810691503</v>
      </c>
      <c r="T30" t="s">
        <v>25</v>
      </c>
      <c r="U30">
        <v>0.81575707929567198</v>
      </c>
      <c r="V30" t="s">
        <v>19</v>
      </c>
      <c r="W30" t="s">
        <v>27</v>
      </c>
      <c r="X30">
        <v>123.437027511827</v>
      </c>
    </row>
    <row r="31" spans="1:24" x14ac:dyDescent="0.3">
      <c r="A31" t="s">
        <v>160</v>
      </c>
      <c r="B31" t="s">
        <v>61</v>
      </c>
      <c r="C31">
        <v>63.447559185207297</v>
      </c>
      <c r="D31">
        <v>3</v>
      </c>
      <c r="E31">
        <v>253</v>
      </c>
      <c r="F31">
        <v>8318.9031946171708</v>
      </c>
      <c r="G31" t="s">
        <v>14</v>
      </c>
      <c r="H31">
        <v>45</v>
      </c>
      <c r="I31">
        <v>5</v>
      </c>
      <c r="J31">
        <v>67</v>
      </c>
      <c r="K31">
        <v>7</v>
      </c>
      <c r="L31" t="s">
        <v>7</v>
      </c>
      <c r="M31">
        <v>8.1009731453970293</v>
      </c>
      <c r="N31" t="s">
        <v>18</v>
      </c>
      <c r="O31" t="s">
        <v>24</v>
      </c>
      <c r="P31">
        <v>16</v>
      </c>
      <c r="Q31">
        <v>329</v>
      </c>
      <c r="R31">
        <v>7</v>
      </c>
      <c r="S31">
        <v>39.292875586065698</v>
      </c>
      <c r="T31" t="s">
        <v>42</v>
      </c>
      <c r="U31">
        <v>3.8780989365884802</v>
      </c>
      <c r="V31" t="s">
        <v>11</v>
      </c>
      <c r="W31" t="s">
        <v>12</v>
      </c>
      <c r="X31">
        <v>764.93537594070801</v>
      </c>
    </row>
    <row r="32" spans="1:24" x14ac:dyDescent="0.3">
      <c r="A32" t="s">
        <v>157</v>
      </c>
      <c r="B32" t="s">
        <v>62</v>
      </c>
      <c r="C32">
        <v>8.0228592105263896</v>
      </c>
      <c r="D32">
        <v>10</v>
      </c>
      <c r="E32">
        <v>327</v>
      </c>
      <c r="F32">
        <v>2766.3423668660798</v>
      </c>
      <c r="G32" t="s">
        <v>34</v>
      </c>
      <c r="H32">
        <v>60</v>
      </c>
      <c r="I32">
        <v>26</v>
      </c>
      <c r="J32">
        <v>35</v>
      </c>
      <c r="K32">
        <v>7</v>
      </c>
      <c r="L32" t="s">
        <v>7</v>
      </c>
      <c r="M32">
        <v>8.9545283153180097</v>
      </c>
      <c r="N32" t="s">
        <v>31</v>
      </c>
      <c r="O32" t="s">
        <v>24</v>
      </c>
      <c r="P32">
        <v>27</v>
      </c>
      <c r="Q32">
        <v>806</v>
      </c>
      <c r="R32">
        <v>30</v>
      </c>
      <c r="S32">
        <v>51.634893400109299</v>
      </c>
      <c r="T32" t="s">
        <v>10</v>
      </c>
      <c r="U32">
        <v>0.96539470535239302</v>
      </c>
      <c r="V32" t="s">
        <v>11</v>
      </c>
      <c r="W32" t="s">
        <v>20</v>
      </c>
      <c r="X32">
        <v>880.08098824716103</v>
      </c>
    </row>
    <row r="33" spans="1:24" x14ac:dyDescent="0.3">
      <c r="A33" t="s">
        <v>159</v>
      </c>
      <c r="B33" t="s">
        <v>63</v>
      </c>
      <c r="C33">
        <v>50.847393051718697</v>
      </c>
      <c r="D33">
        <v>28</v>
      </c>
      <c r="E33">
        <v>168</v>
      </c>
      <c r="F33">
        <v>9655.1351027193905</v>
      </c>
      <c r="G33" t="s">
        <v>34</v>
      </c>
      <c r="H33">
        <v>6</v>
      </c>
      <c r="I33">
        <v>17</v>
      </c>
      <c r="J33">
        <v>44</v>
      </c>
      <c r="K33">
        <v>4</v>
      </c>
      <c r="L33" t="s">
        <v>7</v>
      </c>
      <c r="M33">
        <v>2.6796609649813998</v>
      </c>
      <c r="N33" t="s">
        <v>8</v>
      </c>
      <c r="O33" t="s">
        <v>40</v>
      </c>
      <c r="P33">
        <v>24</v>
      </c>
      <c r="Q33">
        <v>461</v>
      </c>
      <c r="R33">
        <v>8</v>
      </c>
      <c r="S33">
        <v>60.251145661598002</v>
      </c>
      <c r="T33" t="s">
        <v>10</v>
      </c>
      <c r="U33">
        <v>2.9890000066550702</v>
      </c>
      <c r="V33" t="s">
        <v>26</v>
      </c>
      <c r="W33" t="s">
        <v>20</v>
      </c>
      <c r="X33">
        <v>609.379206618426</v>
      </c>
    </row>
    <row r="34" spans="1:24" x14ac:dyDescent="0.3">
      <c r="A34" t="s">
        <v>159</v>
      </c>
      <c r="B34" t="s">
        <v>64</v>
      </c>
      <c r="C34">
        <v>79.209936015656695</v>
      </c>
      <c r="D34">
        <v>43</v>
      </c>
      <c r="E34">
        <v>781</v>
      </c>
      <c r="F34">
        <v>9571.5504873278096</v>
      </c>
      <c r="G34" t="s">
        <v>17</v>
      </c>
      <c r="H34">
        <v>89</v>
      </c>
      <c r="I34">
        <v>13</v>
      </c>
      <c r="J34">
        <v>64</v>
      </c>
      <c r="K34">
        <v>4</v>
      </c>
      <c r="L34" t="s">
        <v>22</v>
      </c>
      <c r="M34">
        <v>6.5991049012385803</v>
      </c>
      <c r="N34" t="s">
        <v>8</v>
      </c>
      <c r="O34" t="s">
        <v>24</v>
      </c>
      <c r="P34">
        <v>30</v>
      </c>
      <c r="Q34">
        <v>737</v>
      </c>
      <c r="R34">
        <v>7</v>
      </c>
      <c r="S34">
        <v>29.6924671537497</v>
      </c>
      <c r="T34" t="s">
        <v>42</v>
      </c>
      <c r="U34">
        <v>1.94603611938611</v>
      </c>
      <c r="V34" t="s">
        <v>11</v>
      </c>
      <c r="W34" t="s">
        <v>27</v>
      </c>
      <c r="X34">
        <v>761.17390951487698</v>
      </c>
    </row>
    <row r="35" spans="1:24" x14ac:dyDescent="0.3">
      <c r="A35" t="s">
        <v>160</v>
      </c>
      <c r="B35" t="s">
        <v>65</v>
      </c>
      <c r="C35">
        <v>64.795435000155607</v>
      </c>
      <c r="D35">
        <v>63</v>
      </c>
      <c r="E35">
        <v>616</v>
      </c>
      <c r="F35">
        <v>5149.9983504080301</v>
      </c>
      <c r="G35" t="s">
        <v>158</v>
      </c>
      <c r="H35">
        <v>4</v>
      </c>
      <c r="I35">
        <v>17</v>
      </c>
      <c r="J35">
        <v>95</v>
      </c>
      <c r="K35">
        <v>9</v>
      </c>
      <c r="L35" t="s">
        <v>22</v>
      </c>
      <c r="M35">
        <v>4.85827050343664</v>
      </c>
      <c r="N35" t="s">
        <v>23</v>
      </c>
      <c r="O35" t="s">
        <v>40</v>
      </c>
      <c r="P35">
        <v>1</v>
      </c>
      <c r="Q35">
        <v>251</v>
      </c>
      <c r="R35">
        <v>23</v>
      </c>
      <c r="S35">
        <v>23.853427512896101</v>
      </c>
      <c r="T35" t="s">
        <v>25</v>
      </c>
      <c r="U35">
        <v>3.54104601225092</v>
      </c>
      <c r="V35" t="s">
        <v>35</v>
      </c>
      <c r="W35" t="s">
        <v>27</v>
      </c>
      <c r="X35">
        <v>371.25529551987103</v>
      </c>
    </row>
    <row r="36" spans="1:24" x14ac:dyDescent="0.3">
      <c r="A36" t="s">
        <v>159</v>
      </c>
      <c r="B36" t="s">
        <v>66</v>
      </c>
      <c r="C36">
        <v>37.467592329842397</v>
      </c>
      <c r="D36">
        <v>96</v>
      </c>
      <c r="E36">
        <v>602</v>
      </c>
      <c r="F36">
        <v>9061.7108955077201</v>
      </c>
      <c r="G36" t="s">
        <v>17</v>
      </c>
      <c r="H36">
        <v>1</v>
      </c>
      <c r="I36">
        <v>26</v>
      </c>
      <c r="J36">
        <v>21</v>
      </c>
      <c r="K36">
        <v>7</v>
      </c>
      <c r="L36" t="s">
        <v>15</v>
      </c>
      <c r="M36">
        <v>1.0194875708221101</v>
      </c>
      <c r="N36" t="s">
        <v>18</v>
      </c>
      <c r="O36" t="s">
        <v>40</v>
      </c>
      <c r="P36">
        <v>4</v>
      </c>
      <c r="Q36">
        <v>452</v>
      </c>
      <c r="R36">
        <v>10</v>
      </c>
      <c r="S36">
        <v>10.754272815029299</v>
      </c>
      <c r="T36" t="s">
        <v>42</v>
      </c>
      <c r="U36">
        <v>0.64660455937205397</v>
      </c>
      <c r="V36" t="s">
        <v>11</v>
      </c>
      <c r="W36" t="s">
        <v>12</v>
      </c>
      <c r="X36">
        <v>510.35800043352299</v>
      </c>
    </row>
    <row r="37" spans="1:24" x14ac:dyDescent="0.3">
      <c r="A37" t="s">
        <v>160</v>
      </c>
      <c r="B37" t="s">
        <v>67</v>
      </c>
      <c r="C37">
        <v>84.957786816350406</v>
      </c>
      <c r="D37">
        <v>11</v>
      </c>
      <c r="E37">
        <v>449</v>
      </c>
      <c r="F37">
        <v>6541.3293448024597</v>
      </c>
      <c r="G37" t="s">
        <v>14</v>
      </c>
      <c r="H37">
        <v>42</v>
      </c>
      <c r="I37">
        <v>27</v>
      </c>
      <c r="J37">
        <v>85</v>
      </c>
      <c r="K37">
        <v>8</v>
      </c>
      <c r="L37" t="s">
        <v>22</v>
      </c>
      <c r="M37">
        <v>5.2881899903273997</v>
      </c>
      <c r="N37" t="s">
        <v>18</v>
      </c>
      <c r="O37" t="s">
        <v>29</v>
      </c>
      <c r="P37">
        <v>3</v>
      </c>
      <c r="Q37">
        <v>367</v>
      </c>
      <c r="R37">
        <v>2</v>
      </c>
      <c r="S37">
        <v>58.004787044743701</v>
      </c>
      <c r="T37" t="s">
        <v>42</v>
      </c>
      <c r="U37">
        <v>0.54115409806058101</v>
      </c>
      <c r="V37" t="s">
        <v>35</v>
      </c>
      <c r="W37" t="s">
        <v>20</v>
      </c>
      <c r="X37">
        <v>553.42047123035502</v>
      </c>
    </row>
    <row r="38" spans="1:24" x14ac:dyDescent="0.3">
      <c r="A38" t="s">
        <v>159</v>
      </c>
      <c r="B38" t="s">
        <v>68</v>
      </c>
      <c r="C38">
        <v>9.81300257875405</v>
      </c>
      <c r="D38">
        <v>34</v>
      </c>
      <c r="E38">
        <v>963</v>
      </c>
      <c r="F38">
        <v>7573.4024578487297</v>
      </c>
      <c r="G38" t="s">
        <v>14</v>
      </c>
      <c r="H38">
        <v>18</v>
      </c>
      <c r="I38">
        <v>23</v>
      </c>
      <c r="J38">
        <v>28</v>
      </c>
      <c r="K38">
        <v>3</v>
      </c>
      <c r="L38" t="s">
        <v>7</v>
      </c>
      <c r="M38">
        <v>2.1079512671590801</v>
      </c>
      <c r="N38" t="s">
        <v>39</v>
      </c>
      <c r="O38" t="s">
        <v>29</v>
      </c>
      <c r="P38">
        <v>26</v>
      </c>
      <c r="Q38">
        <v>671</v>
      </c>
      <c r="R38">
        <v>19</v>
      </c>
      <c r="S38">
        <v>45.531364237162101</v>
      </c>
      <c r="T38" t="s">
        <v>25</v>
      </c>
      <c r="U38">
        <v>3.8055333792433501</v>
      </c>
      <c r="V38" t="s">
        <v>19</v>
      </c>
      <c r="W38" t="s">
        <v>20</v>
      </c>
      <c r="X38">
        <v>403.80897424817999</v>
      </c>
    </row>
    <row r="39" spans="1:24" x14ac:dyDescent="0.3">
      <c r="A39" t="s">
        <v>159</v>
      </c>
      <c r="B39" t="s">
        <v>69</v>
      </c>
      <c r="C39">
        <v>23.3998447526143</v>
      </c>
      <c r="D39">
        <v>5</v>
      </c>
      <c r="E39">
        <v>963</v>
      </c>
      <c r="F39">
        <v>2438.3399304700201</v>
      </c>
      <c r="G39" t="s">
        <v>14</v>
      </c>
      <c r="H39">
        <v>25</v>
      </c>
      <c r="I39">
        <v>8</v>
      </c>
      <c r="J39">
        <v>21</v>
      </c>
      <c r="K39">
        <v>9</v>
      </c>
      <c r="L39" t="s">
        <v>15</v>
      </c>
      <c r="M39">
        <v>1.53265527359043</v>
      </c>
      <c r="N39" t="s">
        <v>8</v>
      </c>
      <c r="O39" t="s">
        <v>24</v>
      </c>
      <c r="P39">
        <v>24</v>
      </c>
      <c r="Q39">
        <v>867</v>
      </c>
      <c r="R39">
        <v>15</v>
      </c>
      <c r="S39">
        <v>34.343277465075303</v>
      </c>
      <c r="T39" t="s">
        <v>10</v>
      </c>
      <c r="U39">
        <v>2.61028808484811</v>
      </c>
      <c r="V39" t="s">
        <v>35</v>
      </c>
      <c r="W39" t="s">
        <v>27</v>
      </c>
      <c r="X39">
        <v>183.932968043594</v>
      </c>
    </row>
    <row r="40" spans="1:24" x14ac:dyDescent="0.3">
      <c r="A40" t="s">
        <v>160</v>
      </c>
      <c r="B40" t="s">
        <v>70</v>
      </c>
      <c r="C40">
        <v>52.075930682707799</v>
      </c>
      <c r="D40">
        <v>75</v>
      </c>
      <c r="E40">
        <v>705</v>
      </c>
      <c r="F40">
        <v>9692.3180402184298</v>
      </c>
      <c r="G40" t="s">
        <v>158</v>
      </c>
      <c r="H40">
        <v>69</v>
      </c>
      <c r="I40">
        <v>1</v>
      </c>
      <c r="J40">
        <v>88</v>
      </c>
      <c r="K40">
        <v>5</v>
      </c>
      <c r="L40" t="s">
        <v>7</v>
      </c>
      <c r="M40">
        <v>9.2359314372492207</v>
      </c>
      <c r="N40" t="s">
        <v>23</v>
      </c>
      <c r="O40" t="s">
        <v>9</v>
      </c>
      <c r="P40">
        <v>10</v>
      </c>
      <c r="Q40">
        <v>841</v>
      </c>
      <c r="R40">
        <v>12</v>
      </c>
      <c r="S40">
        <v>5.9306936455283097</v>
      </c>
      <c r="T40" t="s">
        <v>10</v>
      </c>
      <c r="U40">
        <v>0.613326899164507</v>
      </c>
      <c r="V40" t="s">
        <v>19</v>
      </c>
      <c r="W40" t="s">
        <v>12</v>
      </c>
      <c r="X40">
        <v>339.67286994860598</v>
      </c>
    </row>
    <row r="41" spans="1:24" x14ac:dyDescent="0.3">
      <c r="A41" t="s">
        <v>159</v>
      </c>
      <c r="B41" t="s">
        <v>71</v>
      </c>
      <c r="C41">
        <v>19.127477265823199</v>
      </c>
      <c r="D41">
        <v>26</v>
      </c>
      <c r="E41">
        <v>176</v>
      </c>
      <c r="F41">
        <v>1912.4656631007599</v>
      </c>
      <c r="G41" t="s">
        <v>14</v>
      </c>
      <c r="H41">
        <v>78</v>
      </c>
      <c r="I41">
        <v>29</v>
      </c>
      <c r="J41">
        <v>34</v>
      </c>
      <c r="K41">
        <v>3</v>
      </c>
      <c r="L41" t="s">
        <v>15</v>
      </c>
      <c r="M41">
        <v>5.5625037788303802</v>
      </c>
      <c r="N41" t="s">
        <v>39</v>
      </c>
      <c r="O41" t="s">
        <v>24</v>
      </c>
      <c r="P41">
        <v>30</v>
      </c>
      <c r="Q41">
        <v>791</v>
      </c>
      <c r="R41">
        <v>6</v>
      </c>
      <c r="S41">
        <v>9.0058074287816403</v>
      </c>
      <c r="T41" t="s">
        <v>25</v>
      </c>
      <c r="U41">
        <v>1.4519722039968099</v>
      </c>
      <c r="V41" t="s">
        <v>19</v>
      </c>
      <c r="W41" t="s">
        <v>12</v>
      </c>
      <c r="X41">
        <v>653.67299455203295</v>
      </c>
    </row>
    <row r="42" spans="1:24" x14ac:dyDescent="0.3">
      <c r="A42" t="s">
        <v>159</v>
      </c>
      <c r="B42" t="s">
        <v>72</v>
      </c>
      <c r="C42">
        <v>80.541424170940303</v>
      </c>
      <c r="D42">
        <v>97</v>
      </c>
      <c r="E42">
        <v>933</v>
      </c>
      <c r="F42">
        <v>5724.9593504562599</v>
      </c>
      <c r="G42" t="s">
        <v>14</v>
      </c>
      <c r="H42">
        <v>90</v>
      </c>
      <c r="I42">
        <v>20</v>
      </c>
      <c r="J42">
        <v>39</v>
      </c>
      <c r="K42">
        <v>8</v>
      </c>
      <c r="L42" t="s">
        <v>22</v>
      </c>
      <c r="M42">
        <v>7.2295951397364702</v>
      </c>
      <c r="N42" t="s">
        <v>18</v>
      </c>
      <c r="O42" t="s">
        <v>24</v>
      </c>
      <c r="P42">
        <v>18</v>
      </c>
      <c r="Q42">
        <v>793</v>
      </c>
      <c r="R42">
        <v>1</v>
      </c>
      <c r="S42">
        <v>88.179407104217404</v>
      </c>
      <c r="T42" t="s">
        <v>10</v>
      </c>
      <c r="U42">
        <v>4.2132694305865597</v>
      </c>
      <c r="V42" t="s">
        <v>11</v>
      </c>
      <c r="W42" t="s">
        <v>27</v>
      </c>
      <c r="X42">
        <v>529.80872398069096</v>
      </c>
    </row>
    <row r="43" spans="1:24" x14ac:dyDescent="0.3">
      <c r="A43" t="s">
        <v>159</v>
      </c>
      <c r="B43" t="s">
        <v>73</v>
      </c>
      <c r="C43">
        <v>99.113291615317095</v>
      </c>
      <c r="D43">
        <v>35</v>
      </c>
      <c r="E43">
        <v>556</v>
      </c>
      <c r="F43">
        <v>5521.2052590109697</v>
      </c>
      <c r="G43" t="s">
        <v>14</v>
      </c>
      <c r="H43">
        <v>64</v>
      </c>
      <c r="I43">
        <v>19</v>
      </c>
      <c r="J43">
        <v>38</v>
      </c>
      <c r="K43">
        <v>8</v>
      </c>
      <c r="L43" t="s">
        <v>7</v>
      </c>
      <c r="M43">
        <v>5.7732637437666501</v>
      </c>
      <c r="N43" t="s">
        <v>31</v>
      </c>
      <c r="O43" t="s">
        <v>40</v>
      </c>
      <c r="P43">
        <v>18</v>
      </c>
      <c r="Q43">
        <v>892</v>
      </c>
      <c r="R43">
        <v>7</v>
      </c>
      <c r="S43">
        <v>95.332064548772493</v>
      </c>
      <c r="T43" t="s">
        <v>25</v>
      </c>
      <c r="U43">
        <v>4.5302262398259602E-2</v>
      </c>
      <c r="V43" t="s">
        <v>35</v>
      </c>
      <c r="W43" t="s">
        <v>27</v>
      </c>
      <c r="X43">
        <v>275.52437113130901</v>
      </c>
    </row>
    <row r="44" spans="1:24" x14ac:dyDescent="0.3">
      <c r="A44" t="s">
        <v>159</v>
      </c>
      <c r="B44" t="s">
        <v>74</v>
      </c>
      <c r="C44">
        <v>46.529167614516702</v>
      </c>
      <c r="D44">
        <v>98</v>
      </c>
      <c r="E44">
        <v>155</v>
      </c>
      <c r="F44">
        <v>1839.60942585676</v>
      </c>
      <c r="G44" t="s">
        <v>14</v>
      </c>
      <c r="H44">
        <v>22</v>
      </c>
      <c r="I44">
        <v>27</v>
      </c>
      <c r="J44">
        <v>57</v>
      </c>
      <c r="K44">
        <v>4</v>
      </c>
      <c r="L44" t="s">
        <v>22</v>
      </c>
      <c r="M44">
        <v>7.5262483268515004</v>
      </c>
      <c r="N44" t="s">
        <v>23</v>
      </c>
      <c r="O44" t="s">
        <v>32</v>
      </c>
      <c r="P44">
        <v>26</v>
      </c>
      <c r="Q44">
        <v>179</v>
      </c>
      <c r="R44">
        <v>7</v>
      </c>
      <c r="S44">
        <v>96.422820639571796</v>
      </c>
      <c r="T44" t="s">
        <v>25</v>
      </c>
      <c r="U44">
        <v>4.9392552886209398</v>
      </c>
      <c r="V44" t="s">
        <v>11</v>
      </c>
      <c r="W44" t="s">
        <v>27</v>
      </c>
      <c r="X44">
        <v>635.65712050199102</v>
      </c>
    </row>
    <row r="45" spans="1:24" x14ac:dyDescent="0.3">
      <c r="A45" t="s">
        <v>157</v>
      </c>
      <c r="B45" t="s">
        <v>75</v>
      </c>
      <c r="C45">
        <v>11.7432717763092</v>
      </c>
      <c r="D45">
        <v>6</v>
      </c>
      <c r="E45">
        <v>598</v>
      </c>
      <c r="F45">
        <v>5737.4255991190203</v>
      </c>
      <c r="G45" t="s">
        <v>17</v>
      </c>
      <c r="H45">
        <v>36</v>
      </c>
      <c r="I45">
        <v>29</v>
      </c>
      <c r="J45">
        <v>85</v>
      </c>
      <c r="K45">
        <v>9</v>
      </c>
      <c r="L45" t="s">
        <v>7</v>
      </c>
      <c r="M45">
        <v>3.6940212683884499</v>
      </c>
      <c r="N45" t="s">
        <v>23</v>
      </c>
      <c r="O45" t="s">
        <v>9</v>
      </c>
      <c r="P45">
        <v>1</v>
      </c>
      <c r="Q45">
        <v>206</v>
      </c>
      <c r="R45">
        <v>23</v>
      </c>
      <c r="S45">
        <v>26.2773659573324</v>
      </c>
      <c r="T45" t="s">
        <v>10</v>
      </c>
      <c r="U45">
        <v>0.37230476798509698</v>
      </c>
      <c r="V45" t="s">
        <v>19</v>
      </c>
      <c r="W45" t="s">
        <v>27</v>
      </c>
      <c r="X45">
        <v>716.04411975933999</v>
      </c>
    </row>
    <row r="46" spans="1:24" x14ac:dyDescent="0.3">
      <c r="A46" t="s">
        <v>160</v>
      </c>
      <c r="B46" t="s">
        <v>76</v>
      </c>
      <c r="C46">
        <v>51.355790913110297</v>
      </c>
      <c r="D46">
        <v>34</v>
      </c>
      <c r="E46">
        <v>919</v>
      </c>
      <c r="F46">
        <v>7152.28604943551</v>
      </c>
      <c r="G46" t="s">
        <v>14</v>
      </c>
      <c r="H46">
        <v>13</v>
      </c>
      <c r="I46">
        <v>19</v>
      </c>
      <c r="J46">
        <v>72</v>
      </c>
      <c r="K46">
        <v>6</v>
      </c>
      <c r="L46" t="s">
        <v>22</v>
      </c>
      <c r="M46">
        <v>7.5774496573766896</v>
      </c>
      <c r="N46" t="s">
        <v>39</v>
      </c>
      <c r="O46" t="s">
        <v>29</v>
      </c>
      <c r="P46">
        <v>7</v>
      </c>
      <c r="Q46">
        <v>834</v>
      </c>
      <c r="R46">
        <v>18</v>
      </c>
      <c r="S46">
        <v>22.554106620887701</v>
      </c>
      <c r="T46" t="s">
        <v>25</v>
      </c>
      <c r="U46">
        <v>2.9626263204548802</v>
      </c>
      <c r="V46" t="s">
        <v>26</v>
      </c>
      <c r="W46" t="s">
        <v>27</v>
      </c>
      <c r="X46">
        <v>610.45326961922694</v>
      </c>
    </row>
    <row r="47" spans="1:24" x14ac:dyDescent="0.3">
      <c r="A47" t="s">
        <v>157</v>
      </c>
      <c r="B47" t="s">
        <v>77</v>
      </c>
      <c r="C47">
        <v>33.784138033065503</v>
      </c>
      <c r="D47">
        <v>1</v>
      </c>
      <c r="E47">
        <v>24</v>
      </c>
      <c r="F47">
        <v>5267.9568075105199</v>
      </c>
      <c r="G47" t="s">
        <v>34</v>
      </c>
      <c r="H47">
        <v>93</v>
      </c>
      <c r="I47">
        <v>7</v>
      </c>
      <c r="J47">
        <v>52</v>
      </c>
      <c r="K47">
        <v>6</v>
      </c>
      <c r="L47" t="s">
        <v>7</v>
      </c>
      <c r="M47">
        <v>5.2151550087119096</v>
      </c>
      <c r="N47" t="s">
        <v>39</v>
      </c>
      <c r="O47" t="s">
        <v>40</v>
      </c>
      <c r="P47">
        <v>25</v>
      </c>
      <c r="Q47">
        <v>794</v>
      </c>
      <c r="R47">
        <v>25</v>
      </c>
      <c r="S47">
        <v>66.312544439991598</v>
      </c>
      <c r="T47" t="s">
        <v>42</v>
      </c>
      <c r="U47">
        <v>3.2196046120841002</v>
      </c>
      <c r="V47" t="s">
        <v>26</v>
      </c>
      <c r="W47" t="s">
        <v>27</v>
      </c>
      <c r="X47">
        <v>495.30569702847299</v>
      </c>
    </row>
    <row r="48" spans="1:24" x14ac:dyDescent="0.3">
      <c r="A48" t="s">
        <v>157</v>
      </c>
      <c r="B48" t="s">
        <v>78</v>
      </c>
      <c r="C48">
        <v>27.082207199888899</v>
      </c>
      <c r="D48">
        <v>75</v>
      </c>
      <c r="E48">
        <v>859</v>
      </c>
      <c r="F48">
        <v>2556.7673606335902</v>
      </c>
      <c r="G48" t="s">
        <v>158</v>
      </c>
      <c r="H48">
        <v>92</v>
      </c>
      <c r="I48">
        <v>29</v>
      </c>
      <c r="J48">
        <v>6</v>
      </c>
      <c r="K48">
        <v>8</v>
      </c>
      <c r="L48" t="s">
        <v>7</v>
      </c>
      <c r="M48">
        <v>4.0709558370840799</v>
      </c>
      <c r="N48" t="s">
        <v>8</v>
      </c>
      <c r="O48" t="s">
        <v>40</v>
      </c>
      <c r="P48">
        <v>18</v>
      </c>
      <c r="Q48">
        <v>870</v>
      </c>
      <c r="R48">
        <v>23</v>
      </c>
      <c r="S48">
        <v>77.322353211051606</v>
      </c>
      <c r="T48" t="s">
        <v>10</v>
      </c>
      <c r="U48">
        <v>3.6486105925361998</v>
      </c>
      <c r="V48" t="s">
        <v>11</v>
      </c>
      <c r="W48" t="s">
        <v>12</v>
      </c>
      <c r="X48">
        <v>380.43593711196399</v>
      </c>
    </row>
    <row r="49" spans="1:24" x14ac:dyDescent="0.3">
      <c r="A49" t="s">
        <v>159</v>
      </c>
      <c r="B49" t="s">
        <v>79</v>
      </c>
      <c r="C49">
        <v>95.712135880936003</v>
      </c>
      <c r="D49">
        <v>93</v>
      </c>
      <c r="E49">
        <v>910</v>
      </c>
      <c r="F49">
        <v>7089.4742499341801</v>
      </c>
      <c r="G49" t="s">
        <v>34</v>
      </c>
      <c r="H49">
        <v>4</v>
      </c>
      <c r="I49">
        <v>15</v>
      </c>
      <c r="J49">
        <v>51</v>
      </c>
      <c r="K49">
        <v>9</v>
      </c>
      <c r="L49" t="s">
        <v>7</v>
      </c>
      <c r="M49">
        <v>8.9787507559499709</v>
      </c>
      <c r="N49" t="s">
        <v>18</v>
      </c>
      <c r="O49" t="s">
        <v>24</v>
      </c>
      <c r="P49">
        <v>10</v>
      </c>
      <c r="Q49">
        <v>964</v>
      </c>
      <c r="R49">
        <v>20</v>
      </c>
      <c r="S49">
        <v>19.7129929112936</v>
      </c>
      <c r="T49" t="s">
        <v>10</v>
      </c>
      <c r="U49">
        <v>0.38057358671321301</v>
      </c>
      <c r="V49" t="s">
        <v>26</v>
      </c>
      <c r="W49" t="s">
        <v>27</v>
      </c>
      <c r="X49">
        <v>581.60235505058597</v>
      </c>
    </row>
    <row r="50" spans="1:24" x14ac:dyDescent="0.3">
      <c r="A50" t="s">
        <v>157</v>
      </c>
      <c r="B50" t="s">
        <v>80</v>
      </c>
      <c r="C50">
        <v>76.035544426891704</v>
      </c>
      <c r="D50">
        <v>28</v>
      </c>
      <c r="E50">
        <v>29</v>
      </c>
      <c r="F50">
        <v>7397.0710045871801</v>
      </c>
      <c r="G50" t="s">
        <v>158</v>
      </c>
      <c r="H50">
        <v>30</v>
      </c>
      <c r="I50">
        <v>16</v>
      </c>
      <c r="J50">
        <v>9</v>
      </c>
      <c r="K50">
        <v>3</v>
      </c>
      <c r="L50" t="s">
        <v>22</v>
      </c>
      <c r="M50">
        <v>7.0958331565551296</v>
      </c>
      <c r="N50" t="s">
        <v>39</v>
      </c>
      <c r="O50" t="s">
        <v>9</v>
      </c>
      <c r="P50">
        <v>9</v>
      </c>
      <c r="Q50">
        <v>109</v>
      </c>
      <c r="R50">
        <v>18</v>
      </c>
      <c r="S50">
        <v>23.126363582464698</v>
      </c>
      <c r="T50" t="s">
        <v>25</v>
      </c>
      <c r="U50">
        <v>1.6981125407144</v>
      </c>
      <c r="V50" t="s">
        <v>26</v>
      </c>
      <c r="W50" t="s">
        <v>12</v>
      </c>
      <c r="X50">
        <v>768.65191395437</v>
      </c>
    </row>
    <row r="51" spans="1:24" x14ac:dyDescent="0.3">
      <c r="A51" t="s">
        <v>160</v>
      </c>
      <c r="B51" t="s">
        <v>81</v>
      </c>
      <c r="C51">
        <v>78.897913205639995</v>
      </c>
      <c r="D51">
        <v>19</v>
      </c>
      <c r="E51">
        <v>99</v>
      </c>
      <c r="F51">
        <v>8001.6132065190004</v>
      </c>
      <c r="G51" t="s">
        <v>17</v>
      </c>
      <c r="H51">
        <v>97</v>
      </c>
      <c r="I51">
        <v>24</v>
      </c>
      <c r="J51">
        <v>9</v>
      </c>
      <c r="K51">
        <v>6</v>
      </c>
      <c r="L51" t="s">
        <v>22</v>
      </c>
      <c r="M51">
        <v>2.5056210329009101</v>
      </c>
      <c r="N51" t="s">
        <v>23</v>
      </c>
      <c r="O51" t="s">
        <v>29</v>
      </c>
      <c r="P51">
        <v>28</v>
      </c>
      <c r="Q51">
        <v>177</v>
      </c>
      <c r="R51">
        <v>28</v>
      </c>
      <c r="S51">
        <v>14.1478154439792</v>
      </c>
      <c r="T51" t="s">
        <v>42</v>
      </c>
      <c r="U51">
        <v>2.8258139854001301</v>
      </c>
      <c r="V51" t="s">
        <v>26</v>
      </c>
      <c r="W51" t="s">
        <v>27</v>
      </c>
      <c r="X51">
        <v>336.89016851997701</v>
      </c>
    </row>
    <row r="52" spans="1:24" x14ac:dyDescent="0.3">
      <c r="A52" t="s">
        <v>160</v>
      </c>
      <c r="B52" t="s">
        <v>82</v>
      </c>
      <c r="C52">
        <v>14.203484264803</v>
      </c>
      <c r="D52">
        <v>91</v>
      </c>
      <c r="E52">
        <v>633</v>
      </c>
      <c r="F52">
        <v>5910.8853896688897</v>
      </c>
      <c r="G52" t="s">
        <v>14</v>
      </c>
      <c r="H52">
        <v>31</v>
      </c>
      <c r="I52">
        <v>23</v>
      </c>
      <c r="J52">
        <v>82</v>
      </c>
      <c r="K52">
        <v>10</v>
      </c>
      <c r="L52" t="s">
        <v>15</v>
      </c>
      <c r="M52">
        <v>6.2478609149759903</v>
      </c>
      <c r="N52" t="s">
        <v>39</v>
      </c>
      <c r="O52" t="s">
        <v>29</v>
      </c>
      <c r="P52">
        <v>20</v>
      </c>
      <c r="Q52">
        <v>306</v>
      </c>
      <c r="R52">
        <v>21</v>
      </c>
      <c r="S52">
        <v>45.178757924634503</v>
      </c>
      <c r="T52" t="s">
        <v>25</v>
      </c>
      <c r="U52">
        <v>4.7548008046711798</v>
      </c>
      <c r="V52" t="s">
        <v>26</v>
      </c>
      <c r="W52" t="s">
        <v>12</v>
      </c>
      <c r="X52">
        <v>496.24865029194001</v>
      </c>
    </row>
    <row r="53" spans="1:24" x14ac:dyDescent="0.3">
      <c r="A53" t="s">
        <v>157</v>
      </c>
      <c r="B53" t="s">
        <v>83</v>
      </c>
      <c r="C53">
        <v>26.700760972461701</v>
      </c>
      <c r="D53">
        <v>61</v>
      </c>
      <c r="E53">
        <v>154</v>
      </c>
      <c r="F53">
        <v>9866.4654579796897</v>
      </c>
      <c r="G53" t="s">
        <v>34</v>
      </c>
      <c r="H53">
        <v>100</v>
      </c>
      <c r="I53">
        <v>4</v>
      </c>
      <c r="J53">
        <v>52</v>
      </c>
      <c r="K53">
        <v>1</v>
      </c>
      <c r="L53" t="s">
        <v>15</v>
      </c>
      <c r="M53">
        <v>4.78300055794766</v>
      </c>
      <c r="N53" t="s">
        <v>23</v>
      </c>
      <c r="O53" t="s">
        <v>32</v>
      </c>
      <c r="P53">
        <v>18</v>
      </c>
      <c r="Q53">
        <v>673</v>
      </c>
      <c r="R53">
        <v>28</v>
      </c>
      <c r="S53">
        <v>14.190328344569901</v>
      </c>
      <c r="T53" t="s">
        <v>10</v>
      </c>
      <c r="U53">
        <v>1.77295117208355</v>
      </c>
      <c r="V53" t="s">
        <v>11</v>
      </c>
      <c r="W53" t="s">
        <v>27</v>
      </c>
      <c r="X53">
        <v>694.98231757944495</v>
      </c>
    </row>
    <row r="54" spans="1:24" x14ac:dyDescent="0.3">
      <c r="A54" t="s">
        <v>159</v>
      </c>
      <c r="B54" t="s">
        <v>84</v>
      </c>
      <c r="C54">
        <v>98.031829656465007</v>
      </c>
      <c r="D54">
        <v>1</v>
      </c>
      <c r="E54">
        <v>820</v>
      </c>
      <c r="F54">
        <v>9435.7626089121295</v>
      </c>
      <c r="G54" t="s">
        <v>34</v>
      </c>
      <c r="H54">
        <v>64</v>
      </c>
      <c r="I54">
        <v>11</v>
      </c>
      <c r="J54">
        <v>11</v>
      </c>
      <c r="K54">
        <v>1</v>
      </c>
      <c r="L54" t="s">
        <v>7</v>
      </c>
      <c r="M54">
        <v>8.6310521797689397</v>
      </c>
      <c r="N54" t="s">
        <v>18</v>
      </c>
      <c r="O54" t="s">
        <v>9</v>
      </c>
      <c r="P54">
        <v>10</v>
      </c>
      <c r="Q54">
        <v>727</v>
      </c>
      <c r="R54">
        <v>27</v>
      </c>
      <c r="S54">
        <v>9.1668491485971497</v>
      </c>
      <c r="T54" t="s">
        <v>10</v>
      </c>
      <c r="U54">
        <v>2.1224716191438202</v>
      </c>
      <c r="V54" t="s">
        <v>19</v>
      </c>
      <c r="W54" t="s">
        <v>20</v>
      </c>
      <c r="X54">
        <v>602.89849883838303</v>
      </c>
    </row>
    <row r="55" spans="1:24" x14ac:dyDescent="0.3">
      <c r="A55" t="s">
        <v>159</v>
      </c>
      <c r="B55" t="s">
        <v>85</v>
      </c>
      <c r="C55">
        <v>30.3414707112142</v>
      </c>
      <c r="D55">
        <v>93</v>
      </c>
      <c r="E55">
        <v>242</v>
      </c>
      <c r="F55">
        <v>8232.3348294258194</v>
      </c>
      <c r="G55" t="s">
        <v>34</v>
      </c>
      <c r="H55">
        <v>96</v>
      </c>
      <c r="I55">
        <v>25</v>
      </c>
      <c r="J55">
        <v>54</v>
      </c>
      <c r="K55">
        <v>3</v>
      </c>
      <c r="L55" t="s">
        <v>7</v>
      </c>
      <c r="M55">
        <v>1.0134865660958901</v>
      </c>
      <c r="N55" t="s">
        <v>18</v>
      </c>
      <c r="O55" t="s">
        <v>29</v>
      </c>
      <c r="P55">
        <v>1</v>
      </c>
      <c r="Q55">
        <v>631</v>
      </c>
      <c r="R55">
        <v>17</v>
      </c>
      <c r="S55">
        <v>83.344058991677898</v>
      </c>
      <c r="T55" t="s">
        <v>10</v>
      </c>
      <c r="U55">
        <v>1.41034757607602</v>
      </c>
      <c r="V55" t="s">
        <v>19</v>
      </c>
      <c r="W55" t="s">
        <v>12</v>
      </c>
      <c r="X55">
        <v>750.73784066827</v>
      </c>
    </row>
    <row r="56" spans="1:24" x14ac:dyDescent="0.3">
      <c r="A56" t="s">
        <v>157</v>
      </c>
      <c r="B56" t="s">
        <v>86</v>
      </c>
      <c r="C56">
        <v>31.1462431602408</v>
      </c>
      <c r="D56">
        <v>11</v>
      </c>
      <c r="E56">
        <v>622</v>
      </c>
      <c r="F56">
        <v>6088.0214799408504</v>
      </c>
      <c r="G56" t="s">
        <v>158</v>
      </c>
      <c r="H56">
        <v>33</v>
      </c>
      <c r="I56">
        <v>22</v>
      </c>
      <c r="J56">
        <v>61</v>
      </c>
      <c r="K56">
        <v>3</v>
      </c>
      <c r="L56" t="s">
        <v>7</v>
      </c>
      <c r="M56">
        <v>4.3051034712876302</v>
      </c>
      <c r="N56" t="s">
        <v>18</v>
      </c>
      <c r="O56" t="s">
        <v>24</v>
      </c>
      <c r="P56">
        <v>26</v>
      </c>
      <c r="Q56">
        <v>497</v>
      </c>
      <c r="R56">
        <v>29</v>
      </c>
      <c r="S56">
        <v>30.186023375822501</v>
      </c>
      <c r="T56" t="s">
        <v>42</v>
      </c>
      <c r="U56">
        <v>2.4787719755397402</v>
      </c>
      <c r="V56" t="s">
        <v>11</v>
      </c>
      <c r="W56" t="s">
        <v>12</v>
      </c>
      <c r="X56">
        <v>814.06999658218695</v>
      </c>
    </row>
    <row r="57" spans="1:24" x14ac:dyDescent="0.3">
      <c r="A57" t="s">
        <v>157</v>
      </c>
      <c r="B57" t="s">
        <v>87</v>
      </c>
      <c r="C57">
        <v>79.855058340789398</v>
      </c>
      <c r="D57">
        <v>16</v>
      </c>
      <c r="E57">
        <v>701</v>
      </c>
      <c r="F57">
        <v>2925.6751703038099</v>
      </c>
      <c r="G57" t="s">
        <v>34</v>
      </c>
      <c r="H57">
        <v>97</v>
      </c>
      <c r="I57">
        <v>11</v>
      </c>
      <c r="J57">
        <v>11</v>
      </c>
      <c r="K57">
        <v>5</v>
      </c>
      <c r="L57" t="s">
        <v>15</v>
      </c>
      <c r="M57">
        <v>5.0143649550309002</v>
      </c>
      <c r="N57" t="s">
        <v>39</v>
      </c>
      <c r="O57" t="s">
        <v>29</v>
      </c>
      <c r="P57">
        <v>27</v>
      </c>
      <c r="Q57">
        <v>918</v>
      </c>
      <c r="R57">
        <v>5</v>
      </c>
      <c r="S57">
        <v>30.323545256616502</v>
      </c>
      <c r="T57" t="s">
        <v>25</v>
      </c>
      <c r="U57">
        <v>4.5489196593963799</v>
      </c>
      <c r="V57" t="s">
        <v>35</v>
      </c>
      <c r="W57" t="s">
        <v>12</v>
      </c>
      <c r="X57">
        <v>323.01292795247798</v>
      </c>
    </row>
    <row r="58" spans="1:24" x14ac:dyDescent="0.3">
      <c r="A58" t="s">
        <v>159</v>
      </c>
      <c r="B58" t="s">
        <v>88</v>
      </c>
      <c r="C58">
        <v>20.9863860370433</v>
      </c>
      <c r="D58">
        <v>90</v>
      </c>
      <c r="E58">
        <v>93</v>
      </c>
      <c r="F58">
        <v>4767.0204843441297</v>
      </c>
      <c r="G58" t="s">
        <v>158</v>
      </c>
      <c r="H58">
        <v>25</v>
      </c>
      <c r="I58">
        <v>23</v>
      </c>
      <c r="J58">
        <v>83</v>
      </c>
      <c r="K58">
        <v>5</v>
      </c>
      <c r="L58" t="s">
        <v>22</v>
      </c>
      <c r="M58">
        <v>1.77442971407173</v>
      </c>
      <c r="N58" t="s">
        <v>18</v>
      </c>
      <c r="O58" t="s">
        <v>9</v>
      </c>
      <c r="P58">
        <v>24</v>
      </c>
      <c r="Q58">
        <v>826</v>
      </c>
      <c r="R58">
        <v>28</v>
      </c>
      <c r="S58">
        <v>12.8362845728327</v>
      </c>
      <c r="T58" t="s">
        <v>42</v>
      </c>
      <c r="U58">
        <v>1.1737554953874501</v>
      </c>
      <c r="V58" t="s">
        <v>19</v>
      </c>
      <c r="W58" t="s">
        <v>12</v>
      </c>
      <c r="X58">
        <v>832.210808706021</v>
      </c>
    </row>
    <row r="59" spans="1:24" x14ac:dyDescent="0.3">
      <c r="A59" t="s">
        <v>157</v>
      </c>
      <c r="B59" t="s">
        <v>89</v>
      </c>
      <c r="C59">
        <v>49.263205350734097</v>
      </c>
      <c r="D59">
        <v>65</v>
      </c>
      <c r="E59">
        <v>227</v>
      </c>
      <c r="F59">
        <v>1605.8669003924001</v>
      </c>
      <c r="G59" t="s">
        <v>17</v>
      </c>
      <c r="H59">
        <v>5</v>
      </c>
      <c r="I59">
        <v>18</v>
      </c>
      <c r="J59">
        <v>51</v>
      </c>
      <c r="K59">
        <v>1</v>
      </c>
      <c r="L59" t="s">
        <v>7</v>
      </c>
      <c r="M59">
        <v>9.1605585353818704</v>
      </c>
      <c r="N59" t="s">
        <v>39</v>
      </c>
      <c r="O59" t="s">
        <v>29</v>
      </c>
      <c r="P59">
        <v>21</v>
      </c>
      <c r="Q59">
        <v>588</v>
      </c>
      <c r="R59">
        <v>25</v>
      </c>
      <c r="S59">
        <v>67.779622987078099</v>
      </c>
      <c r="T59" t="s">
        <v>10</v>
      </c>
      <c r="U59">
        <v>2.5111748302126999</v>
      </c>
      <c r="V59" t="s">
        <v>26</v>
      </c>
      <c r="W59" t="s">
        <v>27</v>
      </c>
      <c r="X59">
        <v>482.19123860252802</v>
      </c>
    </row>
    <row r="60" spans="1:24" x14ac:dyDescent="0.3">
      <c r="A60" t="s">
        <v>159</v>
      </c>
      <c r="B60" t="s">
        <v>90</v>
      </c>
      <c r="C60">
        <v>59.841561377289302</v>
      </c>
      <c r="D60">
        <v>81</v>
      </c>
      <c r="E60">
        <v>896</v>
      </c>
      <c r="F60">
        <v>2021.1498103371</v>
      </c>
      <c r="G60" t="s">
        <v>158</v>
      </c>
      <c r="H60">
        <v>10</v>
      </c>
      <c r="I60">
        <v>5</v>
      </c>
      <c r="J60">
        <v>44</v>
      </c>
      <c r="K60">
        <v>7</v>
      </c>
      <c r="L60" t="s">
        <v>15</v>
      </c>
      <c r="M60">
        <v>4.9384385647120901</v>
      </c>
      <c r="N60" t="s">
        <v>8</v>
      </c>
      <c r="O60" t="s">
        <v>29</v>
      </c>
      <c r="P60">
        <v>18</v>
      </c>
      <c r="Q60">
        <v>396</v>
      </c>
      <c r="R60">
        <v>7</v>
      </c>
      <c r="S60">
        <v>65.047415094691402</v>
      </c>
      <c r="T60" t="s">
        <v>25</v>
      </c>
      <c r="U60">
        <v>1.7303747198591899</v>
      </c>
      <c r="V60" t="s">
        <v>11</v>
      </c>
      <c r="W60" t="s">
        <v>12</v>
      </c>
      <c r="X60">
        <v>110.364335231364</v>
      </c>
    </row>
    <row r="61" spans="1:24" x14ac:dyDescent="0.3">
      <c r="A61" t="s">
        <v>160</v>
      </c>
      <c r="B61" t="s">
        <v>91</v>
      </c>
      <c r="C61">
        <v>63.828398347710902</v>
      </c>
      <c r="D61">
        <v>30</v>
      </c>
      <c r="E61">
        <v>484</v>
      </c>
      <c r="F61">
        <v>1061.6185230132801</v>
      </c>
      <c r="G61" t="s">
        <v>158</v>
      </c>
      <c r="H61">
        <v>100</v>
      </c>
      <c r="I61">
        <v>16</v>
      </c>
      <c r="J61">
        <v>26</v>
      </c>
      <c r="K61">
        <v>7</v>
      </c>
      <c r="L61" t="s">
        <v>7</v>
      </c>
      <c r="M61">
        <v>7.2937225968677204</v>
      </c>
      <c r="N61" t="s">
        <v>18</v>
      </c>
      <c r="O61" t="s">
        <v>24</v>
      </c>
      <c r="P61">
        <v>11</v>
      </c>
      <c r="Q61">
        <v>176</v>
      </c>
      <c r="R61">
        <v>4</v>
      </c>
      <c r="S61">
        <v>1.90076224351945</v>
      </c>
      <c r="T61" t="s">
        <v>25</v>
      </c>
      <c r="U61">
        <v>0.44719401546382298</v>
      </c>
      <c r="V61" t="s">
        <v>19</v>
      </c>
      <c r="W61" t="s">
        <v>27</v>
      </c>
      <c r="X61">
        <v>312.57427361009297</v>
      </c>
    </row>
    <row r="62" spans="1:24" x14ac:dyDescent="0.3">
      <c r="A62" t="s">
        <v>159</v>
      </c>
      <c r="B62" t="s">
        <v>92</v>
      </c>
      <c r="C62">
        <v>17.028027920188698</v>
      </c>
      <c r="D62">
        <v>16</v>
      </c>
      <c r="E62">
        <v>380</v>
      </c>
      <c r="F62">
        <v>8864.0843495864301</v>
      </c>
      <c r="G62" t="s">
        <v>14</v>
      </c>
      <c r="H62">
        <v>41</v>
      </c>
      <c r="I62">
        <v>27</v>
      </c>
      <c r="J62">
        <v>72</v>
      </c>
      <c r="K62">
        <v>8</v>
      </c>
      <c r="L62" t="s">
        <v>22</v>
      </c>
      <c r="M62">
        <v>4.3813681581023101</v>
      </c>
      <c r="N62" t="s">
        <v>31</v>
      </c>
      <c r="O62" t="s">
        <v>9</v>
      </c>
      <c r="P62">
        <v>29</v>
      </c>
      <c r="Q62">
        <v>929</v>
      </c>
      <c r="R62">
        <v>24</v>
      </c>
      <c r="S62">
        <v>87.213057815135599</v>
      </c>
      <c r="T62" t="s">
        <v>25</v>
      </c>
      <c r="U62">
        <v>2.8530906166490499</v>
      </c>
      <c r="V62" t="s">
        <v>26</v>
      </c>
      <c r="W62" t="s">
        <v>27</v>
      </c>
      <c r="X62">
        <v>430.16909697513597</v>
      </c>
    </row>
    <row r="63" spans="1:24" x14ac:dyDescent="0.3">
      <c r="A63" t="s">
        <v>157</v>
      </c>
      <c r="B63" t="s">
        <v>93</v>
      </c>
      <c r="C63">
        <v>52.028749903294901</v>
      </c>
      <c r="D63">
        <v>23</v>
      </c>
      <c r="E63">
        <v>117</v>
      </c>
      <c r="F63">
        <v>6885.5893508962499</v>
      </c>
      <c r="G63" t="s">
        <v>17</v>
      </c>
      <c r="H63">
        <v>32</v>
      </c>
      <c r="I63">
        <v>23</v>
      </c>
      <c r="J63">
        <v>36</v>
      </c>
      <c r="K63">
        <v>7</v>
      </c>
      <c r="L63" t="s">
        <v>22</v>
      </c>
      <c r="M63">
        <v>9.0303404225219399</v>
      </c>
      <c r="N63" t="s">
        <v>31</v>
      </c>
      <c r="O63" t="s">
        <v>24</v>
      </c>
      <c r="P63">
        <v>14</v>
      </c>
      <c r="Q63">
        <v>480</v>
      </c>
      <c r="R63">
        <v>12</v>
      </c>
      <c r="S63">
        <v>78.702393968878894</v>
      </c>
      <c r="T63" t="s">
        <v>25</v>
      </c>
      <c r="U63">
        <v>4.3674705382050503</v>
      </c>
      <c r="V63" t="s">
        <v>19</v>
      </c>
      <c r="W63" t="s">
        <v>27</v>
      </c>
      <c r="X63">
        <v>164.366528243419</v>
      </c>
    </row>
    <row r="64" spans="1:24" x14ac:dyDescent="0.3">
      <c r="A64" t="s">
        <v>160</v>
      </c>
      <c r="B64" t="s">
        <v>94</v>
      </c>
      <c r="C64">
        <v>72.796353955587307</v>
      </c>
      <c r="D64">
        <v>89</v>
      </c>
      <c r="E64">
        <v>270</v>
      </c>
      <c r="F64">
        <v>3899.7468337292198</v>
      </c>
      <c r="G64" t="s">
        <v>17</v>
      </c>
      <c r="H64">
        <v>86</v>
      </c>
      <c r="I64">
        <v>2</v>
      </c>
      <c r="J64">
        <v>40</v>
      </c>
      <c r="K64">
        <v>7</v>
      </c>
      <c r="L64" t="s">
        <v>22</v>
      </c>
      <c r="M64">
        <v>7.2917013887767697</v>
      </c>
      <c r="N64" t="s">
        <v>39</v>
      </c>
      <c r="O64" t="s">
        <v>9</v>
      </c>
      <c r="P64">
        <v>13</v>
      </c>
      <c r="Q64">
        <v>751</v>
      </c>
      <c r="R64">
        <v>14</v>
      </c>
      <c r="S64">
        <v>21.048642725168602</v>
      </c>
      <c r="T64" t="s">
        <v>42</v>
      </c>
      <c r="U64">
        <v>1.87400140404437</v>
      </c>
      <c r="V64" t="s">
        <v>35</v>
      </c>
      <c r="W64" t="s">
        <v>20</v>
      </c>
      <c r="X64">
        <v>320.84651575911101</v>
      </c>
    </row>
    <row r="65" spans="1:24" x14ac:dyDescent="0.3">
      <c r="A65" t="s">
        <v>159</v>
      </c>
      <c r="B65" t="s">
        <v>95</v>
      </c>
      <c r="C65">
        <v>13.0173767852878</v>
      </c>
      <c r="D65">
        <v>55</v>
      </c>
      <c r="E65">
        <v>246</v>
      </c>
      <c r="F65">
        <v>4256.9491408502199</v>
      </c>
      <c r="G65" t="s">
        <v>158</v>
      </c>
      <c r="H65">
        <v>54</v>
      </c>
      <c r="I65">
        <v>19</v>
      </c>
      <c r="J65">
        <v>10</v>
      </c>
      <c r="K65">
        <v>4</v>
      </c>
      <c r="L65" t="s">
        <v>15</v>
      </c>
      <c r="M65">
        <v>2.45793352798733</v>
      </c>
      <c r="N65" t="s">
        <v>8</v>
      </c>
      <c r="O65" t="s">
        <v>32</v>
      </c>
      <c r="P65">
        <v>18</v>
      </c>
      <c r="Q65">
        <v>736</v>
      </c>
      <c r="R65">
        <v>10</v>
      </c>
      <c r="S65">
        <v>20.075003975630398</v>
      </c>
      <c r="T65" t="s">
        <v>10</v>
      </c>
      <c r="U65">
        <v>3.6328432903821302</v>
      </c>
      <c r="V65" t="s">
        <v>35</v>
      </c>
      <c r="W65" t="s">
        <v>27</v>
      </c>
      <c r="X65">
        <v>687.28617786641701</v>
      </c>
    </row>
    <row r="66" spans="1:24" x14ac:dyDescent="0.3">
      <c r="A66" t="s">
        <v>159</v>
      </c>
      <c r="B66" t="s">
        <v>96</v>
      </c>
      <c r="C66">
        <v>89.634095608135297</v>
      </c>
      <c r="D66">
        <v>11</v>
      </c>
      <c r="E66">
        <v>134</v>
      </c>
      <c r="F66">
        <v>8458.7308783671706</v>
      </c>
      <c r="G66" t="s">
        <v>14</v>
      </c>
      <c r="H66">
        <v>73</v>
      </c>
      <c r="I66">
        <v>27</v>
      </c>
      <c r="J66">
        <v>75</v>
      </c>
      <c r="K66">
        <v>6</v>
      </c>
      <c r="L66" t="s">
        <v>22</v>
      </c>
      <c r="M66">
        <v>4.5853534681946497</v>
      </c>
      <c r="N66" t="s">
        <v>18</v>
      </c>
      <c r="O66" t="s">
        <v>29</v>
      </c>
      <c r="P66">
        <v>17</v>
      </c>
      <c r="Q66">
        <v>328</v>
      </c>
      <c r="R66">
        <v>6</v>
      </c>
      <c r="S66">
        <v>8.6930424258772803</v>
      </c>
      <c r="T66" t="s">
        <v>25</v>
      </c>
      <c r="U66">
        <v>0.15948631471751401</v>
      </c>
      <c r="V66" t="s">
        <v>19</v>
      </c>
      <c r="W66" t="s">
        <v>20</v>
      </c>
      <c r="X66">
        <v>771.225084681157</v>
      </c>
    </row>
    <row r="67" spans="1:24" x14ac:dyDescent="0.3">
      <c r="A67" t="s">
        <v>159</v>
      </c>
      <c r="B67" t="s">
        <v>97</v>
      </c>
      <c r="C67">
        <v>33.697717206643098</v>
      </c>
      <c r="D67">
        <v>72</v>
      </c>
      <c r="E67">
        <v>457</v>
      </c>
      <c r="F67">
        <v>8354.5796864819895</v>
      </c>
      <c r="G67" t="s">
        <v>34</v>
      </c>
      <c r="H67">
        <v>57</v>
      </c>
      <c r="I67">
        <v>24</v>
      </c>
      <c r="J67">
        <v>54</v>
      </c>
      <c r="K67">
        <v>8</v>
      </c>
      <c r="L67" t="s">
        <v>22</v>
      </c>
      <c r="M67">
        <v>6.5805413478845898</v>
      </c>
      <c r="N67" t="s">
        <v>23</v>
      </c>
      <c r="O67" t="s">
        <v>24</v>
      </c>
      <c r="P67">
        <v>16</v>
      </c>
      <c r="Q67">
        <v>358</v>
      </c>
      <c r="R67">
        <v>21</v>
      </c>
      <c r="S67">
        <v>1.59722274305067</v>
      </c>
      <c r="T67" t="s">
        <v>25</v>
      </c>
      <c r="U67">
        <v>4.9110959548423301</v>
      </c>
      <c r="V67" t="s">
        <v>26</v>
      </c>
      <c r="W67" t="s">
        <v>20</v>
      </c>
      <c r="X67">
        <v>555.85910367174301</v>
      </c>
    </row>
    <row r="68" spans="1:24" x14ac:dyDescent="0.3">
      <c r="A68" t="s">
        <v>159</v>
      </c>
      <c r="B68" t="s">
        <v>98</v>
      </c>
      <c r="C68">
        <v>26.034869773962001</v>
      </c>
      <c r="D68">
        <v>52</v>
      </c>
      <c r="E68">
        <v>704</v>
      </c>
      <c r="F68">
        <v>8367.7216180201503</v>
      </c>
      <c r="G68" t="s">
        <v>14</v>
      </c>
      <c r="H68">
        <v>13</v>
      </c>
      <c r="I68">
        <v>17</v>
      </c>
      <c r="J68">
        <v>19</v>
      </c>
      <c r="K68">
        <v>8</v>
      </c>
      <c r="L68" t="s">
        <v>15</v>
      </c>
      <c r="M68">
        <v>2.2161427287713602</v>
      </c>
      <c r="N68" t="s">
        <v>23</v>
      </c>
      <c r="O68" t="s">
        <v>24</v>
      </c>
      <c r="P68">
        <v>24</v>
      </c>
      <c r="Q68">
        <v>867</v>
      </c>
      <c r="R68">
        <v>28</v>
      </c>
      <c r="S68">
        <v>42.084436738309897</v>
      </c>
      <c r="T68" t="s">
        <v>25</v>
      </c>
      <c r="U68">
        <v>3.44806328834026</v>
      </c>
      <c r="V68" t="s">
        <v>11</v>
      </c>
      <c r="W68" t="s">
        <v>27</v>
      </c>
      <c r="X68">
        <v>393.84334857842703</v>
      </c>
    </row>
    <row r="69" spans="1:24" x14ac:dyDescent="0.3">
      <c r="A69" t="s">
        <v>159</v>
      </c>
      <c r="B69" t="s">
        <v>99</v>
      </c>
      <c r="C69">
        <v>87.755432354001002</v>
      </c>
      <c r="D69">
        <v>16</v>
      </c>
      <c r="E69">
        <v>513</v>
      </c>
      <c r="F69">
        <v>9473.7980325083299</v>
      </c>
      <c r="G69" t="s">
        <v>17</v>
      </c>
      <c r="H69">
        <v>12</v>
      </c>
      <c r="I69">
        <v>9</v>
      </c>
      <c r="J69">
        <v>71</v>
      </c>
      <c r="K69">
        <v>9</v>
      </c>
      <c r="L69" t="s">
        <v>22</v>
      </c>
      <c r="M69">
        <v>9.1478115447106294</v>
      </c>
      <c r="N69" t="s">
        <v>18</v>
      </c>
      <c r="O69" t="s">
        <v>9</v>
      </c>
      <c r="P69">
        <v>10</v>
      </c>
      <c r="Q69">
        <v>198</v>
      </c>
      <c r="R69">
        <v>11</v>
      </c>
      <c r="S69">
        <v>7.0578761469782298</v>
      </c>
      <c r="T69" t="s">
        <v>42</v>
      </c>
      <c r="U69">
        <v>0.131955444311814</v>
      </c>
      <c r="V69" t="s">
        <v>35</v>
      </c>
      <c r="W69" t="s">
        <v>20</v>
      </c>
      <c r="X69">
        <v>169.27180138478599</v>
      </c>
    </row>
    <row r="70" spans="1:24" x14ac:dyDescent="0.3">
      <c r="A70" t="s">
        <v>157</v>
      </c>
      <c r="B70" t="s">
        <v>100</v>
      </c>
      <c r="C70">
        <v>37.931812382790298</v>
      </c>
      <c r="D70">
        <v>29</v>
      </c>
      <c r="E70">
        <v>163</v>
      </c>
      <c r="F70">
        <v>3550.21843278099</v>
      </c>
      <c r="G70" t="s">
        <v>158</v>
      </c>
      <c r="H70">
        <v>0</v>
      </c>
      <c r="I70">
        <v>8</v>
      </c>
      <c r="J70">
        <v>58</v>
      </c>
      <c r="K70">
        <v>8</v>
      </c>
      <c r="L70" t="s">
        <v>7</v>
      </c>
      <c r="M70">
        <v>1.19425186488499</v>
      </c>
      <c r="N70" t="s">
        <v>39</v>
      </c>
      <c r="O70" t="s">
        <v>32</v>
      </c>
      <c r="P70">
        <v>2</v>
      </c>
      <c r="Q70">
        <v>375</v>
      </c>
      <c r="R70">
        <v>18</v>
      </c>
      <c r="S70">
        <v>97.113581563462205</v>
      </c>
      <c r="T70" t="s">
        <v>25</v>
      </c>
      <c r="U70">
        <v>1.9834678721741801</v>
      </c>
      <c r="V70" t="s">
        <v>26</v>
      </c>
      <c r="W70" t="s">
        <v>27</v>
      </c>
      <c r="X70">
        <v>299.70630311810299</v>
      </c>
    </row>
    <row r="71" spans="1:24" x14ac:dyDescent="0.3">
      <c r="A71" t="s">
        <v>159</v>
      </c>
      <c r="B71" t="s">
        <v>101</v>
      </c>
      <c r="C71">
        <v>54.865528517069698</v>
      </c>
      <c r="D71">
        <v>62</v>
      </c>
      <c r="E71">
        <v>511</v>
      </c>
      <c r="F71">
        <v>1752.3810874841199</v>
      </c>
      <c r="G71" t="s">
        <v>158</v>
      </c>
      <c r="H71">
        <v>95</v>
      </c>
      <c r="I71">
        <v>1</v>
      </c>
      <c r="J71">
        <v>27</v>
      </c>
      <c r="K71">
        <v>3</v>
      </c>
      <c r="L71" t="s">
        <v>7</v>
      </c>
      <c r="M71">
        <v>9.7052867901203399</v>
      </c>
      <c r="N71" t="s">
        <v>31</v>
      </c>
      <c r="O71" t="s">
        <v>24</v>
      </c>
      <c r="P71">
        <v>9</v>
      </c>
      <c r="Q71">
        <v>862</v>
      </c>
      <c r="R71">
        <v>7</v>
      </c>
      <c r="S71">
        <v>77.627765812748095</v>
      </c>
      <c r="T71" t="s">
        <v>10</v>
      </c>
      <c r="U71">
        <v>1.3623879886490999</v>
      </c>
      <c r="V71" t="s">
        <v>19</v>
      </c>
      <c r="W71" t="s">
        <v>27</v>
      </c>
      <c r="X71">
        <v>207.66320620857499</v>
      </c>
    </row>
    <row r="72" spans="1:24" x14ac:dyDescent="0.3">
      <c r="A72" t="s">
        <v>157</v>
      </c>
      <c r="B72" t="s">
        <v>102</v>
      </c>
      <c r="C72">
        <v>47.914541824058702</v>
      </c>
      <c r="D72">
        <v>90</v>
      </c>
      <c r="E72">
        <v>32</v>
      </c>
      <c r="F72">
        <v>7014.8879872033804</v>
      </c>
      <c r="G72" t="s">
        <v>14</v>
      </c>
      <c r="H72">
        <v>10</v>
      </c>
      <c r="I72">
        <v>12</v>
      </c>
      <c r="J72">
        <v>22</v>
      </c>
      <c r="K72">
        <v>4</v>
      </c>
      <c r="L72" t="s">
        <v>7</v>
      </c>
      <c r="M72">
        <v>6.3157177546007199</v>
      </c>
      <c r="N72" t="s">
        <v>18</v>
      </c>
      <c r="O72" t="s">
        <v>32</v>
      </c>
      <c r="P72">
        <v>22</v>
      </c>
      <c r="Q72">
        <v>775</v>
      </c>
      <c r="R72">
        <v>16</v>
      </c>
      <c r="S72">
        <v>11.440781823761199</v>
      </c>
      <c r="T72" t="s">
        <v>42</v>
      </c>
      <c r="U72">
        <v>1.8305755986122301</v>
      </c>
      <c r="V72" t="s">
        <v>11</v>
      </c>
      <c r="W72" t="s">
        <v>20</v>
      </c>
      <c r="X72">
        <v>183.27289874871099</v>
      </c>
    </row>
    <row r="73" spans="1:24" x14ac:dyDescent="0.3">
      <c r="A73" t="s">
        <v>160</v>
      </c>
      <c r="B73" t="s">
        <v>103</v>
      </c>
      <c r="C73">
        <v>6.3815331627479601</v>
      </c>
      <c r="D73">
        <v>14</v>
      </c>
      <c r="E73">
        <v>637</v>
      </c>
      <c r="F73">
        <v>8180.3370854254399</v>
      </c>
      <c r="G73" t="s">
        <v>14</v>
      </c>
      <c r="H73">
        <v>76</v>
      </c>
      <c r="I73">
        <v>2</v>
      </c>
      <c r="J73">
        <v>26</v>
      </c>
      <c r="K73">
        <v>6</v>
      </c>
      <c r="L73" t="s">
        <v>15</v>
      </c>
      <c r="M73">
        <v>9.2281903170525101</v>
      </c>
      <c r="N73" t="s">
        <v>39</v>
      </c>
      <c r="O73" t="s">
        <v>32</v>
      </c>
      <c r="P73">
        <v>2</v>
      </c>
      <c r="Q73">
        <v>258</v>
      </c>
      <c r="R73">
        <v>10</v>
      </c>
      <c r="S73">
        <v>30.661677477859499</v>
      </c>
      <c r="T73" t="s">
        <v>10</v>
      </c>
      <c r="U73">
        <v>2.07875060787496</v>
      </c>
      <c r="V73" t="s">
        <v>11</v>
      </c>
      <c r="W73" t="s">
        <v>27</v>
      </c>
      <c r="X73">
        <v>405.167067888855</v>
      </c>
    </row>
    <row r="74" spans="1:24" x14ac:dyDescent="0.3">
      <c r="A74" t="s">
        <v>160</v>
      </c>
      <c r="B74" t="s">
        <v>104</v>
      </c>
      <c r="C74">
        <v>90.204427520528</v>
      </c>
      <c r="D74">
        <v>88</v>
      </c>
      <c r="E74">
        <v>478</v>
      </c>
      <c r="F74">
        <v>2633.1219813122498</v>
      </c>
      <c r="G74" t="s">
        <v>158</v>
      </c>
      <c r="H74">
        <v>57</v>
      </c>
      <c r="I74">
        <v>29</v>
      </c>
      <c r="J74">
        <v>77</v>
      </c>
      <c r="K74">
        <v>9</v>
      </c>
      <c r="L74" t="s">
        <v>15</v>
      </c>
      <c r="M74">
        <v>6.5996141596895397</v>
      </c>
      <c r="N74" t="s">
        <v>18</v>
      </c>
      <c r="O74" t="s">
        <v>32</v>
      </c>
      <c r="P74">
        <v>21</v>
      </c>
      <c r="Q74">
        <v>152</v>
      </c>
      <c r="R74">
        <v>11</v>
      </c>
      <c r="S74">
        <v>55.760492895244198</v>
      </c>
      <c r="T74" t="s">
        <v>10</v>
      </c>
      <c r="U74">
        <v>3.2133296074383</v>
      </c>
      <c r="V74" t="s">
        <v>26</v>
      </c>
      <c r="W74" t="s">
        <v>12</v>
      </c>
      <c r="X74">
        <v>677.94456984618296</v>
      </c>
    </row>
    <row r="75" spans="1:24" x14ac:dyDescent="0.3">
      <c r="A75" t="s">
        <v>160</v>
      </c>
      <c r="B75" t="s">
        <v>105</v>
      </c>
      <c r="C75">
        <v>83.851017681304597</v>
      </c>
      <c r="D75">
        <v>41</v>
      </c>
      <c r="E75">
        <v>375</v>
      </c>
      <c r="F75">
        <v>7910.8869161406801</v>
      </c>
      <c r="G75" t="s">
        <v>34</v>
      </c>
      <c r="H75">
        <v>17</v>
      </c>
      <c r="I75">
        <v>25</v>
      </c>
      <c r="J75">
        <v>66</v>
      </c>
      <c r="K75">
        <v>5</v>
      </c>
      <c r="L75" t="s">
        <v>7</v>
      </c>
      <c r="M75">
        <v>1.5129368369160701</v>
      </c>
      <c r="N75" t="s">
        <v>31</v>
      </c>
      <c r="O75" t="s">
        <v>40</v>
      </c>
      <c r="P75">
        <v>13</v>
      </c>
      <c r="Q75">
        <v>444</v>
      </c>
      <c r="R75">
        <v>4</v>
      </c>
      <c r="S75">
        <v>46.870238797617098</v>
      </c>
      <c r="T75" t="s">
        <v>25</v>
      </c>
      <c r="U75">
        <v>4.6205460645137002</v>
      </c>
      <c r="V75" t="s">
        <v>11</v>
      </c>
      <c r="W75" t="s">
        <v>27</v>
      </c>
      <c r="X75">
        <v>866.472800129657</v>
      </c>
    </row>
    <row r="76" spans="1:24" x14ac:dyDescent="0.3">
      <c r="A76" t="s">
        <v>157</v>
      </c>
      <c r="B76" t="s">
        <v>106</v>
      </c>
      <c r="C76">
        <v>3.1700114135661499</v>
      </c>
      <c r="D76">
        <v>64</v>
      </c>
      <c r="E76">
        <v>904</v>
      </c>
      <c r="F76">
        <v>5709.9452959692799</v>
      </c>
      <c r="G76" t="s">
        <v>14</v>
      </c>
      <c r="H76">
        <v>41</v>
      </c>
      <c r="I76">
        <v>6</v>
      </c>
      <c r="J76">
        <v>1</v>
      </c>
      <c r="K76">
        <v>5</v>
      </c>
      <c r="L76" t="s">
        <v>15</v>
      </c>
      <c r="M76">
        <v>5.2376546500374399</v>
      </c>
      <c r="N76" t="s">
        <v>31</v>
      </c>
      <c r="O76" t="s">
        <v>29</v>
      </c>
      <c r="P76">
        <v>1</v>
      </c>
      <c r="Q76">
        <v>919</v>
      </c>
      <c r="R76">
        <v>9</v>
      </c>
      <c r="S76">
        <v>80.580852156447804</v>
      </c>
      <c r="T76" t="s">
        <v>25</v>
      </c>
      <c r="U76">
        <v>0.39661272410993498</v>
      </c>
      <c r="V76" t="s">
        <v>26</v>
      </c>
      <c r="W76" t="s">
        <v>27</v>
      </c>
      <c r="X76">
        <v>341.55265678322297</v>
      </c>
    </row>
    <row r="77" spans="1:24" x14ac:dyDescent="0.3">
      <c r="A77" t="s">
        <v>159</v>
      </c>
      <c r="B77" t="s">
        <v>107</v>
      </c>
      <c r="C77">
        <v>92.996884233970604</v>
      </c>
      <c r="D77">
        <v>29</v>
      </c>
      <c r="E77">
        <v>106</v>
      </c>
      <c r="F77">
        <v>1889.07358977933</v>
      </c>
      <c r="G77" t="s">
        <v>158</v>
      </c>
      <c r="H77">
        <v>16</v>
      </c>
      <c r="I77">
        <v>20</v>
      </c>
      <c r="J77">
        <v>56</v>
      </c>
      <c r="K77">
        <v>10</v>
      </c>
      <c r="L77" t="s">
        <v>22</v>
      </c>
      <c r="M77">
        <v>2.47389776104546</v>
      </c>
      <c r="N77" t="s">
        <v>18</v>
      </c>
      <c r="O77" t="s">
        <v>40</v>
      </c>
      <c r="P77">
        <v>25</v>
      </c>
      <c r="Q77">
        <v>759</v>
      </c>
      <c r="R77">
        <v>11</v>
      </c>
      <c r="S77">
        <v>48.064782640006499</v>
      </c>
      <c r="T77" t="s">
        <v>42</v>
      </c>
      <c r="U77">
        <v>2.0300690886687498</v>
      </c>
      <c r="V77" t="s">
        <v>19</v>
      </c>
      <c r="W77" t="s">
        <v>20</v>
      </c>
      <c r="X77">
        <v>873.12964801765099</v>
      </c>
    </row>
    <row r="78" spans="1:24" x14ac:dyDescent="0.3">
      <c r="A78" t="s">
        <v>157</v>
      </c>
      <c r="B78" t="s">
        <v>108</v>
      </c>
      <c r="C78">
        <v>69.108799547430294</v>
      </c>
      <c r="D78">
        <v>23</v>
      </c>
      <c r="E78">
        <v>241</v>
      </c>
      <c r="F78">
        <v>5328.3759842977497</v>
      </c>
      <c r="G78" t="s">
        <v>34</v>
      </c>
      <c r="H78">
        <v>38</v>
      </c>
      <c r="I78">
        <v>1</v>
      </c>
      <c r="J78">
        <v>22</v>
      </c>
      <c r="K78">
        <v>10</v>
      </c>
      <c r="L78" t="s">
        <v>15</v>
      </c>
      <c r="M78">
        <v>7.0545383368369201</v>
      </c>
      <c r="N78" t="s">
        <v>39</v>
      </c>
      <c r="O78" t="s">
        <v>32</v>
      </c>
      <c r="P78">
        <v>25</v>
      </c>
      <c r="Q78">
        <v>985</v>
      </c>
      <c r="R78">
        <v>24</v>
      </c>
      <c r="S78">
        <v>64.323597795600193</v>
      </c>
      <c r="T78" t="s">
        <v>10</v>
      </c>
      <c r="U78">
        <v>2.1800374515822099</v>
      </c>
      <c r="V78" t="s">
        <v>26</v>
      </c>
      <c r="W78" t="s">
        <v>27</v>
      </c>
      <c r="X78">
        <v>997.41345013319403</v>
      </c>
    </row>
    <row r="79" spans="1:24" x14ac:dyDescent="0.3">
      <c r="A79" t="s">
        <v>157</v>
      </c>
      <c r="B79" t="s">
        <v>109</v>
      </c>
      <c r="C79">
        <v>57.449742958971399</v>
      </c>
      <c r="D79">
        <v>14</v>
      </c>
      <c r="E79">
        <v>359</v>
      </c>
      <c r="F79">
        <v>2483.7601775427902</v>
      </c>
      <c r="G79" t="s">
        <v>17</v>
      </c>
      <c r="H79">
        <v>96</v>
      </c>
      <c r="I79">
        <v>28</v>
      </c>
      <c r="J79">
        <v>57</v>
      </c>
      <c r="K79">
        <v>4</v>
      </c>
      <c r="L79" t="s">
        <v>7</v>
      </c>
      <c r="M79">
        <v>6.7809466256178901</v>
      </c>
      <c r="N79" t="s">
        <v>18</v>
      </c>
      <c r="O79" t="s">
        <v>24</v>
      </c>
      <c r="P79">
        <v>26</v>
      </c>
      <c r="Q79">
        <v>334</v>
      </c>
      <c r="R79">
        <v>5</v>
      </c>
      <c r="S79">
        <v>42.952444748991802</v>
      </c>
      <c r="T79" t="s">
        <v>42</v>
      </c>
      <c r="U79">
        <v>3.0551418183075398</v>
      </c>
      <c r="V79" t="s">
        <v>11</v>
      </c>
      <c r="W79" t="s">
        <v>12</v>
      </c>
      <c r="X79">
        <v>852.56809891984994</v>
      </c>
    </row>
    <row r="80" spans="1:24" x14ac:dyDescent="0.3">
      <c r="A80" t="s">
        <v>157</v>
      </c>
      <c r="B80" t="s">
        <v>110</v>
      </c>
      <c r="C80">
        <v>6.30688317611191</v>
      </c>
      <c r="D80">
        <v>50</v>
      </c>
      <c r="E80">
        <v>946</v>
      </c>
      <c r="F80">
        <v>1292.45841793775</v>
      </c>
      <c r="G80" t="s">
        <v>17</v>
      </c>
      <c r="H80">
        <v>5</v>
      </c>
      <c r="I80">
        <v>4</v>
      </c>
      <c r="J80">
        <v>51</v>
      </c>
      <c r="K80">
        <v>5</v>
      </c>
      <c r="L80" t="s">
        <v>7</v>
      </c>
      <c r="M80">
        <v>8.4670497708619905</v>
      </c>
      <c r="N80" t="s">
        <v>23</v>
      </c>
      <c r="O80" t="s">
        <v>9</v>
      </c>
      <c r="P80">
        <v>25</v>
      </c>
      <c r="Q80">
        <v>858</v>
      </c>
      <c r="R80">
        <v>21</v>
      </c>
      <c r="S80">
        <v>71.126514720403307</v>
      </c>
      <c r="T80" t="s">
        <v>10</v>
      </c>
      <c r="U80">
        <v>4.0968813324704501</v>
      </c>
      <c r="V80" t="s">
        <v>35</v>
      </c>
      <c r="W80" t="s">
        <v>20</v>
      </c>
      <c r="X80">
        <v>323.59220343132199</v>
      </c>
    </row>
    <row r="81" spans="1:24" x14ac:dyDescent="0.3">
      <c r="A81" t="s">
        <v>157</v>
      </c>
      <c r="B81" t="s">
        <v>111</v>
      </c>
      <c r="C81">
        <v>57.057031221103202</v>
      </c>
      <c r="D81">
        <v>56</v>
      </c>
      <c r="E81">
        <v>198</v>
      </c>
      <c r="F81">
        <v>7888.7232684270803</v>
      </c>
      <c r="G81" t="s">
        <v>158</v>
      </c>
      <c r="H81">
        <v>31</v>
      </c>
      <c r="I81">
        <v>25</v>
      </c>
      <c r="J81">
        <v>20</v>
      </c>
      <c r="K81">
        <v>1</v>
      </c>
      <c r="L81" t="s">
        <v>7</v>
      </c>
      <c r="M81">
        <v>6.49632536429504</v>
      </c>
      <c r="N81" t="s">
        <v>8</v>
      </c>
      <c r="O81" t="s">
        <v>32</v>
      </c>
      <c r="P81">
        <v>5</v>
      </c>
      <c r="Q81">
        <v>228</v>
      </c>
      <c r="R81">
        <v>12</v>
      </c>
      <c r="S81">
        <v>57.870902924036201</v>
      </c>
      <c r="T81" t="s">
        <v>10</v>
      </c>
      <c r="U81">
        <v>0.16587162748060799</v>
      </c>
      <c r="V81" t="s">
        <v>19</v>
      </c>
      <c r="W81" t="s">
        <v>20</v>
      </c>
      <c r="X81">
        <v>351.50421933503799</v>
      </c>
    </row>
    <row r="82" spans="1:24" x14ac:dyDescent="0.3">
      <c r="A82" t="s">
        <v>159</v>
      </c>
      <c r="B82" t="s">
        <v>112</v>
      </c>
      <c r="C82">
        <v>91.128318350444303</v>
      </c>
      <c r="D82">
        <v>75</v>
      </c>
      <c r="E82">
        <v>872</v>
      </c>
      <c r="F82">
        <v>8651.67268298206</v>
      </c>
      <c r="G82" t="s">
        <v>17</v>
      </c>
      <c r="H82">
        <v>39</v>
      </c>
      <c r="I82">
        <v>14</v>
      </c>
      <c r="J82">
        <v>41</v>
      </c>
      <c r="K82">
        <v>2</v>
      </c>
      <c r="L82" t="s">
        <v>22</v>
      </c>
      <c r="M82">
        <v>2.8331846794189701</v>
      </c>
      <c r="N82" t="s">
        <v>8</v>
      </c>
      <c r="O82" t="s">
        <v>40</v>
      </c>
      <c r="P82">
        <v>8</v>
      </c>
      <c r="Q82">
        <v>202</v>
      </c>
      <c r="R82">
        <v>5</v>
      </c>
      <c r="S82">
        <v>76.961228023819999</v>
      </c>
      <c r="T82" t="s">
        <v>25</v>
      </c>
      <c r="U82">
        <v>2.8496621985053299</v>
      </c>
      <c r="V82" t="s">
        <v>35</v>
      </c>
      <c r="W82" t="s">
        <v>12</v>
      </c>
      <c r="X82">
        <v>787.77985049434403</v>
      </c>
    </row>
    <row r="83" spans="1:24" x14ac:dyDescent="0.3">
      <c r="A83" t="s">
        <v>157</v>
      </c>
      <c r="B83" t="s">
        <v>113</v>
      </c>
      <c r="C83">
        <v>72.819206930318202</v>
      </c>
      <c r="D83">
        <v>9</v>
      </c>
      <c r="E83">
        <v>774</v>
      </c>
      <c r="F83">
        <v>4384.4134000458598</v>
      </c>
      <c r="G83" t="s">
        <v>17</v>
      </c>
      <c r="H83">
        <v>48</v>
      </c>
      <c r="I83">
        <v>6</v>
      </c>
      <c r="J83">
        <v>8</v>
      </c>
      <c r="K83">
        <v>5</v>
      </c>
      <c r="L83" t="s">
        <v>7</v>
      </c>
      <c r="M83">
        <v>4.0662775015120403</v>
      </c>
      <c r="N83" t="s">
        <v>8</v>
      </c>
      <c r="O83" t="s">
        <v>29</v>
      </c>
      <c r="P83">
        <v>28</v>
      </c>
      <c r="Q83">
        <v>698</v>
      </c>
      <c r="R83">
        <v>1</v>
      </c>
      <c r="S83">
        <v>19.789592941903599</v>
      </c>
      <c r="T83" t="s">
        <v>10</v>
      </c>
      <c r="U83">
        <v>2.54754712154871</v>
      </c>
      <c r="V83" t="s">
        <v>26</v>
      </c>
      <c r="W83" t="s">
        <v>12</v>
      </c>
      <c r="X83">
        <v>276.77833594679799</v>
      </c>
    </row>
    <row r="84" spans="1:24" x14ac:dyDescent="0.3">
      <c r="A84" t="s">
        <v>159</v>
      </c>
      <c r="B84" t="s">
        <v>114</v>
      </c>
      <c r="C84">
        <v>17.034930739467899</v>
      </c>
      <c r="D84">
        <v>13</v>
      </c>
      <c r="E84">
        <v>336</v>
      </c>
      <c r="F84">
        <v>2943.3818676094502</v>
      </c>
      <c r="G84" t="s">
        <v>17</v>
      </c>
      <c r="H84">
        <v>42</v>
      </c>
      <c r="I84">
        <v>19</v>
      </c>
      <c r="J84">
        <v>72</v>
      </c>
      <c r="K84">
        <v>1</v>
      </c>
      <c r="L84" t="s">
        <v>15</v>
      </c>
      <c r="M84">
        <v>4.7081818735419301</v>
      </c>
      <c r="N84" t="s">
        <v>39</v>
      </c>
      <c r="O84" t="s">
        <v>9</v>
      </c>
      <c r="P84">
        <v>6</v>
      </c>
      <c r="Q84">
        <v>955</v>
      </c>
      <c r="R84">
        <v>26</v>
      </c>
      <c r="S84">
        <v>4.4652784349432402</v>
      </c>
      <c r="T84" t="s">
        <v>10</v>
      </c>
      <c r="U84">
        <v>4.1378770486223502</v>
      </c>
      <c r="V84" t="s">
        <v>11</v>
      </c>
      <c r="W84" t="s">
        <v>20</v>
      </c>
      <c r="X84">
        <v>589.97855562804</v>
      </c>
    </row>
    <row r="85" spans="1:24" x14ac:dyDescent="0.3">
      <c r="A85" t="s">
        <v>157</v>
      </c>
      <c r="B85" t="s">
        <v>115</v>
      </c>
      <c r="C85">
        <v>68.911246211606297</v>
      </c>
      <c r="D85">
        <v>82</v>
      </c>
      <c r="E85">
        <v>663</v>
      </c>
      <c r="F85">
        <v>2411.7546321104901</v>
      </c>
      <c r="G85" t="s">
        <v>17</v>
      </c>
      <c r="H85">
        <v>65</v>
      </c>
      <c r="I85">
        <v>24</v>
      </c>
      <c r="J85">
        <v>7</v>
      </c>
      <c r="K85">
        <v>8</v>
      </c>
      <c r="L85" t="s">
        <v>7</v>
      </c>
      <c r="M85">
        <v>4.94983957799694</v>
      </c>
      <c r="N85" t="s">
        <v>18</v>
      </c>
      <c r="O85" t="s">
        <v>32</v>
      </c>
      <c r="P85">
        <v>20</v>
      </c>
      <c r="Q85">
        <v>443</v>
      </c>
      <c r="R85">
        <v>5</v>
      </c>
      <c r="S85">
        <v>97.730593800533001</v>
      </c>
      <c r="T85" t="s">
        <v>25</v>
      </c>
      <c r="U85">
        <v>0.77300613406724705</v>
      </c>
      <c r="V85" t="s">
        <v>11</v>
      </c>
      <c r="W85" t="s">
        <v>27</v>
      </c>
      <c r="X85">
        <v>682.97101822609295</v>
      </c>
    </row>
    <row r="86" spans="1:24" x14ac:dyDescent="0.3">
      <c r="A86" t="s">
        <v>157</v>
      </c>
      <c r="B86" t="s">
        <v>116</v>
      </c>
      <c r="C86">
        <v>89.104367292102197</v>
      </c>
      <c r="D86">
        <v>99</v>
      </c>
      <c r="E86">
        <v>618</v>
      </c>
      <c r="F86">
        <v>2048.2900998487098</v>
      </c>
      <c r="G86" t="s">
        <v>17</v>
      </c>
      <c r="H86">
        <v>73</v>
      </c>
      <c r="I86">
        <v>26</v>
      </c>
      <c r="J86">
        <v>80</v>
      </c>
      <c r="K86">
        <v>10</v>
      </c>
      <c r="L86" t="s">
        <v>15</v>
      </c>
      <c r="M86">
        <v>8.3816156249226292</v>
      </c>
      <c r="N86" t="s">
        <v>23</v>
      </c>
      <c r="O86" t="s">
        <v>40</v>
      </c>
      <c r="P86">
        <v>24</v>
      </c>
      <c r="Q86">
        <v>589</v>
      </c>
      <c r="R86">
        <v>22</v>
      </c>
      <c r="S86">
        <v>33.808636513209002</v>
      </c>
      <c r="T86" t="s">
        <v>42</v>
      </c>
      <c r="U86">
        <v>4.8434565771180402</v>
      </c>
      <c r="V86" t="s">
        <v>19</v>
      </c>
      <c r="W86" t="s">
        <v>12</v>
      </c>
      <c r="X86">
        <v>465.45700596368698</v>
      </c>
    </row>
    <row r="87" spans="1:24" x14ac:dyDescent="0.3">
      <c r="A87" t="s">
        <v>160</v>
      </c>
      <c r="B87" t="s">
        <v>117</v>
      </c>
      <c r="C87">
        <v>76.962994415193805</v>
      </c>
      <c r="D87">
        <v>83</v>
      </c>
      <c r="E87">
        <v>25</v>
      </c>
      <c r="F87">
        <v>8684.6130592538502</v>
      </c>
      <c r="G87" t="s">
        <v>14</v>
      </c>
      <c r="H87">
        <v>15</v>
      </c>
      <c r="I87">
        <v>18</v>
      </c>
      <c r="J87">
        <v>66</v>
      </c>
      <c r="K87">
        <v>2</v>
      </c>
      <c r="L87" t="s">
        <v>22</v>
      </c>
      <c r="M87">
        <v>8.2491687048717193</v>
      </c>
      <c r="N87" t="s">
        <v>23</v>
      </c>
      <c r="O87" t="s">
        <v>40</v>
      </c>
      <c r="P87">
        <v>4</v>
      </c>
      <c r="Q87">
        <v>211</v>
      </c>
      <c r="R87">
        <v>2</v>
      </c>
      <c r="S87">
        <v>69.929345518672307</v>
      </c>
      <c r="T87" t="s">
        <v>25</v>
      </c>
      <c r="U87">
        <v>1.3744289997457499</v>
      </c>
      <c r="V87" t="s">
        <v>11</v>
      </c>
      <c r="W87" t="s">
        <v>12</v>
      </c>
      <c r="X87">
        <v>842.68683000464102</v>
      </c>
    </row>
    <row r="88" spans="1:24" x14ac:dyDescent="0.3">
      <c r="A88" t="s">
        <v>159</v>
      </c>
      <c r="B88" t="s">
        <v>118</v>
      </c>
      <c r="C88">
        <v>19.9981769404042</v>
      </c>
      <c r="D88">
        <v>18</v>
      </c>
      <c r="E88">
        <v>223</v>
      </c>
      <c r="F88">
        <v>1229.59102856498</v>
      </c>
      <c r="G88" t="s">
        <v>17</v>
      </c>
      <c r="H88">
        <v>32</v>
      </c>
      <c r="I88">
        <v>14</v>
      </c>
      <c r="J88">
        <v>22</v>
      </c>
      <c r="K88">
        <v>6</v>
      </c>
      <c r="L88" t="s">
        <v>7</v>
      </c>
      <c r="M88">
        <v>1.4543053101535499</v>
      </c>
      <c r="N88" t="s">
        <v>18</v>
      </c>
      <c r="O88" t="s">
        <v>9</v>
      </c>
      <c r="P88">
        <v>4</v>
      </c>
      <c r="Q88">
        <v>569</v>
      </c>
      <c r="R88">
        <v>18</v>
      </c>
      <c r="S88">
        <v>74.608969995194599</v>
      </c>
      <c r="T88" t="s">
        <v>42</v>
      </c>
      <c r="U88">
        <v>2.0515129307662399</v>
      </c>
      <c r="V88" t="s">
        <v>26</v>
      </c>
      <c r="W88" t="s">
        <v>27</v>
      </c>
      <c r="X88">
        <v>264.25488983586598</v>
      </c>
    </row>
    <row r="89" spans="1:24" x14ac:dyDescent="0.3">
      <c r="A89" t="s">
        <v>157</v>
      </c>
      <c r="B89" t="s">
        <v>119</v>
      </c>
      <c r="C89">
        <v>80.414036650355698</v>
      </c>
      <c r="D89">
        <v>24</v>
      </c>
      <c r="E89">
        <v>79</v>
      </c>
      <c r="F89">
        <v>5133.8467010866898</v>
      </c>
      <c r="G89" t="s">
        <v>34</v>
      </c>
      <c r="H89">
        <v>5</v>
      </c>
      <c r="I89">
        <v>7</v>
      </c>
      <c r="J89">
        <v>55</v>
      </c>
      <c r="K89">
        <v>10</v>
      </c>
      <c r="L89" t="s">
        <v>15</v>
      </c>
      <c r="M89">
        <v>6.5758037975485299</v>
      </c>
      <c r="N89" t="s">
        <v>8</v>
      </c>
      <c r="O89" t="s">
        <v>40</v>
      </c>
      <c r="P89">
        <v>27</v>
      </c>
      <c r="Q89">
        <v>523</v>
      </c>
      <c r="R89">
        <v>17</v>
      </c>
      <c r="S89">
        <v>28.696996824143099</v>
      </c>
      <c r="T89" t="s">
        <v>25</v>
      </c>
      <c r="U89">
        <v>3.6937377878392699</v>
      </c>
      <c r="V89" t="s">
        <v>35</v>
      </c>
      <c r="W89" t="s">
        <v>12</v>
      </c>
      <c r="X89">
        <v>879.35921773492396</v>
      </c>
    </row>
    <row r="90" spans="1:24" x14ac:dyDescent="0.3">
      <c r="A90" t="s">
        <v>160</v>
      </c>
      <c r="B90" t="s">
        <v>120</v>
      </c>
      <c r="C90">
        <v>75.270406975724995</v>
      </c>
      <c r="D90">
        <v>58</v>
      </c>
      <c r="E90">
        <v>737</v>
      </c>
      <c r="F90">
        <v>9444.7420330629793</v>
      </c>
      <c r="G90" t="s">
        <v>34</v>
      </c>
      <c r="H90">
        <v>60</v>
      </c>
      <c r="I90">
        <v>18</v>
      </c>
      <c r="J90">
        <v>85</v>
      </c>
      <c r="K90">
        <v>7</v>
      </c>
      <c r="L90" t="s">
        <v>15</v>
      </c>
      <c r="M90">
        <v>3.8012531329310701</v>
      </c>
      <c r="N90" t="s">
        <v>39</v>
      </c>
      <c r="O90" t="s">
        <v>9</v>
      </c>
      <c r="P90">
        <v>21</v>
      </c>
      <c r="Q90">
        <v>953</v>
      </c>
      <c r="R90">
        <v>11</v>
      </c>
      <c r="S90">
        <v>68.1849190570411</v>
      </c>
      <c r="T90" t="s">
        <v>10</v>
      </c>
      <c r="U90">
        <v>0.722204401882931</v>
      </c>
      <c r="V90" t="s">
        <v>35</v>
      </c>
      <c r="W90" t="s">
        <v>27</v>
      </c>
      <c r="X90">
        <v>103.916247960704</v>
      </c>
    </row>
    <row r="91" spans="1:24" x14ac:dyDescent="0.3">
      <c r="A91" t="s">
        <v>160</v>
      </c>
      <c r="B91" t="s">
        <v>121</v>
      </c>
      <c r="C91">
        <v>97.760085581938597</v>
      </c>
      <c r="D91">
        <v>10</v>
      </c>
      <c r="E91">
        <v>134</v>
      </c>
      <c r="F91">
        <v>5924.6825668532301</v>
      </c>
      <c r="G91" t="s">
        <v>17</v>
      </c>
      <c r="H91">
        <v>90</v>
      </c>
      <c r="I91">
        <v>1</v>
      </c>
      <c r="J91">
        <v>27</v>
      </c>
      <c r="K91">
        <v>8</v>
      </c>
      <c r="L91" t="s">
        <v>7</v>
      </c>
      <c r="M91">
        <v>9.9298162452772498</v>
      </c>
      <c r="N91" t="s">
        <v>18</v>
      </c>
      <c r="O91" t="s">
        <v>24</v>
      </c>
      <c r="P91">
        <v>23</v>
      </c>
      <c r="Q91">
        <v>370</v>
      </c>
      <c r="R91">
        <v>11</v>
      </c>
      <c r="S91">
        <v>46.603873381644398</v>
      </c>
      <c r="T91" t="s">
        <v>10</v>
      </c>
      <c r="U91">
        <v>1.9076657339590699</v>
      </c>
      <c r="V91" t="s">
        <v>26</v>
      </c>
      <c r="W91" t="s">
        <v>12</v>
      </c>
      <c r="X91">
        <v>517.49997392906005</v>
      </c>
    </row>
    <row r="92" spans="1:24" x14ac:dyDescent="0.3">
      <c r="A92" t="s">
        <v>159</v>
      </c>
      <c r="B92" t="s">
        <v>122</v>
      </c>
      <c r="C92">
        <v>13.881913501359101</v>
      </c>
      <c r="D92">
        <v>56</v>
      </c>
      <c r="E92">
        <v>320</v>
      </c>
      <c r="F92">
        <v>9592.6335702803099</v>
      </c>
      <c r="G92" t="s">
        <v>158</v>
      </c>
      <c r="H92">
        <v>66</v>
      </c>
      <c r="I92">
        <v>18</v>
      </c>
      <c r="J92">
        <v>96</v>
      </c>
      <c r="K92">
        <v>7</v>
      </c>
      <c r="L92" t="s">
        <v>7</v>
      </c>
      <c r="M92">
        <v>7.6744307081126903</v>
      </c>
      <c r="N92" t="s">
        <v>8</v>
      </c>
      <c r="O92" t="s">
        <v>32</v>
      </c>
      <c r="P92">
        <v>8</v>
      </c>
      <c r="Q92">
        <v>585</v>
      </c>
      <c r="R92">
        <v>8</v>
      </c>
      <c r="S92">
        <v>85.675963335797903</v>
      </c>
      <c r="T92" t="s">
        <v>42</v>
      </c>
      <c r="U92">
        <v>1.2193822244013801</v>
      </c>
      <c r="V92" t="s">
        <v>26</v>
      </c>
      <c r="W92" t="s">
        <v>12</v>
      </c>
      <c r="X92">
        <v>990.07847250581096</v>
      </c>
    </row>
    <row r="93" spans="1:24" x14ac:dyDescent="0.3">
      <c r="A93" t="s">
        <v>160</v>
      </c>
      <c r="B93" t="s">
        <v>123</v>
      </c>
      <c r="C93">
        <v>62.111965463961702</v>
      </c>
      <c r="D93">
        <v>90</v>
      </c>
      <c r="E93">
        <v>916</v>
      </c>
      <c r="F93">
        <v>1935.20679350759</v>
      </c>
      <c r="G93" t="s">
        <v>34</v>
      </c>
      <c r="H93">
        <v>98</v>
      </c>
      <c r="I93">
        <v>22</v>
      </c>
      <c r="J93">
        <v>85</v>
      </c>
      <c r="K93">
        <v>7</v>
      </c>
      <c r="L93" t="s">
        <v>7</v>
      </c>
      <c r="M93">
        <v>7.4715140844011403</v>
      </c>
      <c r="N93" t="s">
        <v>31</v>
      </c>
      <c r="O93" t="s">
        <v>29</v>
      </c>
      <c r="P93">
        <v>5</v>
      </c>
      <c r="Q93">
        <v>207</v>
      </c>
      <c r="R93">
        <v>28</v>
      </c>
      <c r="S93">
        <v>39.772882502339897</v>
      </c>
      <c r="T93" t="s">
        <v>10</v>
      </c>
      <c r="U93">
        <v>0.62600185820939402</v>
      </c>
      <c r="V93" t="s">
        <v>26</v>
      </c>
      <c r="W93" t="s">
        <v>12</v>
      </c>
      <c r="X93">
        <v>996.77831495062298</v>
      </c>
    </row>
    <row r="94" spans="1:24" x14ac:dyDescent="0.3">
      <c r="A94" t="s">
        <v>160</v>
      </c>
      <c r="B94" t="s">
        <v>124</v>
      </c>
      <c r="C94">
        <v>47.714233075820196</v>
      </c>
      <c r="D94">
        <v>44</v>
      </c>
      <c r="E94">
        <v>276</v>
      </c>
      <c r="F94">
        <v>2100.1297546259302</v>
      </c>
      <c r="G94" t="s">
        <v>34</v>
      </c>
      <c r="H94">
        <v>90</v>
      </c>
      <c r="I94">
        <v>25</v>
      </c>
      <c r="J94">
        <v>10</v>
      </c>
      <c r="K94">
        <v>8</v>
      </c>
      <c r="L94" t="s">
        <v>7</v>
      </c>
      <c r="M94">
        <v>4.4695000261236002</v>
      </c>
      <c r="N94" t="s">
        <v>39</v>
      </c>
      <c r="O94" t="s">
        <v>9</v>
      </c>
      <c r="P94">
        <v>4</v>
      </c>
      <c r="Q94">
        <v>671</v>
      </c>
      <c r="R94">
        <v>29</v>
      </c>
      <c r="S94">
        <v>62.612690395614301</v>
      </c>
      <c r="T94" t="s">
        <v>42</v>
      </c>
      <c r="U94">
        <v>0.33343182522473902</v>
      </c>
      <c r="V94" t="s">
        <v>26</v>
      </c>
      <c r="W94" t="s">
        <v>12</v>
      </c>
      <c r="X94">
        <v>230.092782536762</v>
      </c>
    </row>
    <row r="95" spans="1:24" x14ac:dyDescent="0.3">
      <c r="A95" t="s">
        <v>157</v>
      </c>
      <c r="B95" t="s">
        <v>125</v>
      </c>
      <c r="C95">
        <v>69.290831002905406</v>
      </c>
      <c r="D95">
        <v>88</v>
      </c>
      <c r="E95">
        <v>114</v>
      </c>
      <c r="F95">
        <v>4531.4021336919004</v>
      </c>
      <c r="G95" t="s">
        <v>17</v>
      </c>
      <c r="H95">
        <v>63</v>
      </c>
      <c r="I95">
        <v>17</v>
      </c>
      <c r="J95">
        <v>66</v>
      </c>
      <c r="K95">
        <v>1</v>
      </c>
      <c r="L95" t="s">
        <v>22</v>
      </c>
      <c r="M95">
        <v>7.00643205900439</v>
      </c>
      <c r="N95" t="s">
        <v>31</v>
      </c>
      <c r="O95" t="s">
        <v>40</v>
      </c>
      <c r="P95">
        <v>21</v>
      </c>
      <c r="Q95">
        <v>824</v>
      </c>
      <c r="R95">
        <v>20</v>
      </c>
      <c r="S95">
        <v>35.633652343343797</v>
      </c>
      <c r="T95" t="s">
        <v>25</v>
      </c>
      <c r="U95">
        <v>4.1657817954241398</v>
      </c>
      <c r="V95" t="s">
        <v>19</v>
      </c>
      <c r="W95" t="s">
        <v>27</v>
      </c>
      <c r="X95">
        <v>823.52384588815505</v>
      </c>
    </row>
    <row r="96" spans="1:24" x14ac:dyDescent="0.3">
      <c r="A96" t="s">
        <v>160</v>
      </c>
      <c r="B96" t="s">
        <v>126</v>
      </c>
      <c r="C96">
        <v>3.0376887246314102</v>
      </c>
      <c r="D96">
        <v>97</v>
      </c>
      <c r="E96">
        <v>987</v>
      </c>
      <c r="F96">
        <v>7888.3565466618702</v>
      </c>
      <c r="G96" t="s">
        <v>17</v>
      </c>
      <c r="H96">
        <v>77</v>
      </c>
      <c r="I96">
        <v>26</v>
      </c>
      <c r="J96">
        <v>72</v>
      </c>
      <c r="K96">
        <v>9</v>
      </c>
      <c r="L96" t="s">
        <v>7</v>
      </c>
      <c r="M96">
        <v>6.9429459420325799</v>
      </c>
      <c r="N96" t="s">
        <v>39</v>
      </c>
      <c r="O96" t="s">
        <v>29</v>
      </c>
      <c r="P96">
        <v>12</v>
      </c>
      <c r="Q96">
        <v>908</v>
      </c>
      <c r="R96">
        <v>14</v>
      </c>
      <c r="S96">
        <v>60.387378614862101</v>
      </c>
      <c r="T96" t="s">
        <v>42</v>
      </c>
      <c r="U96">
        <v>1.4636074984727701</v>
      </c>
      <c r="V96" t="s">
        <v>26</v>
      </c>
      <c r="W96" t="s">
        <v>12</v>
      </c>
      <c r="X96">
        <v>846.66525698669398</v>
      </c>
    </row>
    <row r="97" spans="1:24" x14ac:dyDescent="0.3">
      <c r="A97" t="s">
        <v>157</v>
      </c>
      <c r="B97" t="s">
        <v>127</v>
      </c>
      <c r="C97">
        <v>77.903927219447695</v>
      </c>
      <c r="D97">
        <v>65</v>
      </c>
      <c r="E97">
        <v>672</v>
      </c>
      <c r="F97">
        <v>7386.3639440486604</v>
      </c>
      <c r="G97" t="s">
        <v>17</v>
      </c>
      <c r="H97">
        <v>15</v>
      </c>
      <c r="I97">
        <v>14</v>
      </c>
      <c r="J97">
        <v>26</v>
      </c>
      <c r="K97">
        <v>9</v>
      </c>
      <c r="L97" t="s">
        <v>7</v>
      </c>
      <c r="M97">
        <v>8.6303388696027508</v>
      </c>
      <c r="N97" t="s">
        <v>31</v>
      </c>
      <c r="O97" t="s">
        <v>9</v>
      </c>
      <c r="P97">
        <v>18</v>
      </c>
      <c r="Q97">
        <v>450</v>
      </c>
      <c r="R97">
        <v>26</v>
      </c>
      <c r="S97">
        <v>58.890685768589897</v>
      </c>
      <c r="T97" t="s">
        <v>10</v>
      </c>
      <c r="U97">
        <v>1.21088212958506</v>
      </c>
      <c r="V97" t="s">
        <v>19</v>
      </c>
      <c r="W97" t="s">
        <v>27</v>
      </c>
      <c r="X97">
        <v>778.86424137664699</v>
      </c>
    </row>
    <row r="98" spans="1:24" x14ac:dyDescent="0.3">
      <c r="A98" t="s">
        <v>160</v>
      </c>
      <c r="B98" t="s">
        <v>128</v>
      </c>
      <c r="C98">
        <v>24.423131420373299</v>
      </c>
      <c r="D98">
        <v>29</v>
      </c>
      <c r="E98">
        <v>324</v>
      </c>
      <c r="F98">
        <v>7698.4247656321104</v>
      </c>
      <c r="G98" t="s">
        <v>158</v>
      </c>
      <c r="H98">
        <v>67</v>
      </c>
      <c r="I98">
        <v>2</v>
      </c>
      <c r="J98">
        <v>32</v>
      </c>
      <c r="K98">
        <v>3</v>
      </c>
      <c r="L98" t="s">
        <v>22</v>
      </c>
      <c r="M98">
        <v>5.3528780439967996</v>
      </c>
      <c r="N98" t="s">
        <v>8</v>
      </c>
      <c r="O98" t="s">
        <v>9</v>
      </c>
      <c r="P98">
        <v>28</v>
      </c>
      <c r="Q98">
        <v>648</v>
      </c>
      <c r="R98">
        <v>28</v>
      </c>
      <c r="S98">
        <v>17.803756331391199</v>
      </c>
      <c r="T98" t="s">
        <v>10</v>
      </c>
      <c r="U98">
        <v>3.8720476814821301</v>
      </c>
      <c r="V98" t="s">
        <v>11</v>
      </c>
      <c r="W98" t="s">
        <v>27</v>
      </c>
      <c r="X98">
        <v>188.74214114905601</v>
      </c>
    </row>
    <row r="99" spans="1:24" x14ac:dyDescent="0.3">
      <c r="A99" t="s">
        <v>157</v>
      </c>
      <c r="B99" t="s">
        <v>129</v>
      </c>
      <c r="C99">
        <v>3.5261112591434101</v>
      </c>
      <c r="D99">
        <v>56</v>
      </c>
      <c r="E99">
        <v>62</v>
      </c>
      <c r="F99">
        <v>4370.9165799845296</v>
      </c>
      <c r="G99" t="s">
        <v>34</v>
      </c>
      <c r="H99">
        <v>46</v>
      </c>
      <c r="I99">
        <v>19</v>
      </c>
      <c r="J99">
        <v>4</v>
      </c>
      <c r="K99">
        <v>9</v>
      </c>
      <c r="L99" t="s">
        <v>15</v>
      </c>
      <c r="M99">
        <v>7.9048456112096703</v>
      </c>
      <c r="N99" t="s">
        <v>31</v>
      </c>
      <c r="O99" t="s">
        <v>9</v>
      </c>
      <c r="P99">
        <v>10</v>
      </c>
      <c r="Q99">
        <v>535</v>
      </c>
      <c r="R99">
        <v>13</v>
      </c>
      <c r="S99">
        <v>65.765155926367399</v>
      </c>
      <c r="T99" t="s">
        <v>25</v>
      </c>
      <c r="U99">
        <v>3.3762378347179798</v>
      </c>
      <c r="V99" t="s">
        <v>11</v>
      </c>
      <c r="W99" t="s">
        <v>27</v>
      </c>
      <c r="X99">
        <v>540.13242286796697</v>
      </c>
    </row>
    <row r="100" spans="1:24" x14ac:dyDescent="0.3">
      <c r="A100" t="s">
        <v>159</v>
      </c>
      <c r="B100" t="s">
        <v>130</v>
      </c>
      <c r="C100">
        <v>19.754604866878601</v>
      </c>
      <c r="D100">
        <v>43</v>
      </c>
      <c r="E100">
        <v>913</v>
      </c>
      <c r="F100">
        <v>8525.9525596835192</v>
      </c>
      <c r="G100" t="s">
        <v>14</v>
      </c>
      <c r="H100">
        <v>53</v>
      </c>
      <c r="I100">
        <v>1</v>
      </c>
      <c r="J100">
        <v>27</v>
      </c>
      <c r="K100">
        <v>7</v>
      </c>
      <c r="L100" t="s">
        <v>7</v>
      </c>
      <c r="M100">
        <v>1.4098010951380699</v>
      </c>
      <c r="N100" t="s">
        <v>23</v>
      </c>
      <c r="O100" t="s">
        <v>40</v>
      </c>
      <c r="P100">
        <v>28</v>
      </c>
      <c r="Q100">
        <v>581</v>
      </c>
      <c r="R100">
        <v>9</v>
      </c>
      <c r="S100">
        <v>5.6046908643717801</v>
      </c>
      <c r="T100" t="s">
        <v>10</v>
      </c>
      <c r="U100">
        <v>2.9081221693512598</v>
      </c>
      <c r="V100" t="s">
        <v>26</v>
      </c>
      <c r="W100" t="s">
        <v>27</v>
      </c>
      <c r="X100">
        <v>882.19886354704101</v>
      </c>
    </row>
    <row r="101" spans="1:24" x14ac:dyDescent="0.3">
      <c r="A101" t="s">
        <v>157</v>
      </c>
      <c r="B101" t="s">
        <v>131</v>
      </c>
      <c r="C101">
        <v>68.517832699276596</v>
      </c>
      <c r="D101">
        <v>17</v>
      </c>
      <c r="E101">
        <v>627</v>
      </c>
      <c r="F101">
        <v>9185.1858291817007</v>
      </c>
      <c r="G101" t="s">
        <v>17</v>
      </c>
      <c r="H101">
        <v>55</v>
      </c>
      <c r="I101">
        <v>8</v>
      </c>
      <c r="J101">
        <v>59</v>
      </c>
      <c r="K101">
        <v>6</v>
      </c>
      <c r="L101" t="s">
        <v>7</v>
      </c>
      <c r="M101">
        <v>1.3110237561206199</v>
      </c>
      <c r="N101" t="s">
        <v>39</v>
      </c>
      <c r="O101" t="s">
        <v>40</v>
      </c>
      <c r="P101">
        <v>29</v>
      </c>
      <c r="Q101">
        <v>921</v>
      </c>
      <c r="R101">
        <v>2</v>
      </c>
      <c r="S101">
        <v>38.072898520625998</v>
      </c>
      <c r="T101" t="s">
        <v>25</v>
      </c>
      <c r="U101">
        <v>0.34602729070550298</v>
      </c>
      <c r="V101" t="s">
        <v>26</v>
      </c>
      <c r="W101" t="s">
        <v>12</v>
      </c>
      <c r="X101">
        <v>210.743008964246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289B6-1849-4DC0-9A59-AB1CBC966573}">
  <dimension ref="A1:AA102"/>
  <sheetViews>
    <sheetView topLeftCell="K1" workbookViewId="0">
      <pane ySplit="1" topLeftCell="A2" activePane="bottomLeft" state="frozen"/>
      <selection pane="bottomLeft" activeCell="F95" sqref="F95"/>
    </sheetView>
  </sheetViews>
  <sheetFormatPr defaultRowHeight="14.4" x14ac:dyDescent="0.3"/>
  <cols>
    <col min="1" max="1" width="14" bestFit="1" customWidth="1"/>
    <col min="2" max="2" width="6.6640625" bestFit="1" customWidth="1"/>
    <col min="3" max="3" width="18.44140625" bestFit="1" customWidth="1"/>
    <col min="4" max="4" width="12" bestFit="1" customWidth="1"/>
    <col min="5" max="5" width="12.6640625" bestFit="1" customWidth="1"/>
    <col min="6" max="6" width="24.44140625" bestFit="1" customWidth="1"/>
    <col min="7" max="7" width="19.5546875" style="10" bestFit="1" customWidth="1"/>
    <col min="8" max="8" width="24" bestFit="1" customWidth="1"/>
    <col min="9" max="9" width="13.5546875" bestFit="1" customWidth="1"/>
    <col min="10" max="10" width="12.5546875" bestFit="1" customWidth="1"/>
    <col min="11" max="11" width="17.109375" bestFit="1" customWidth="1"/>
    <col min="12" max="12" width="16" bestFit="1" customWidth="1"/>
    <col min="13" max="13" width="17.6640625" bestFit="1" customWidth="1"/>
    <col min="14" max="14" width="15.6640625" bestFit="1" customWidth="1"/>
    <col min="15" max="15" width="15.77734375" bestFit="1" customWidth="1"/>
    <col min="16" max="16" width="10.33203125" bestFit="1" customWidth="1"/>
    <col min="17" max="17" width="11.6640625" bestFit="1" customWidth="1"/>
    <col min="18" max="18" width="20.109375" bestFit="1" customWidth="1"/>
    <col min="19" max="19" width="24.109375" bestFit="1" customWidth="1"/>
    <col min="20" max="20" width="20.21875" bestFit="1" customWidth="1"/>
    <col min="21" max="21" width="18.5546875" bestFit="1" customWidth="1"/>
    <col min="22" max="22" width="13.6640625" bestFit="1" customWidth="1"/>
    <col min="23" max="23" width="21.33203125" bestFit="1" customWidth="1"/>
    <col min="25" max="25" width="12" bestFit="1" customWidth="1"/>
    <col min="26" max="26" width="12" style="11" bestFit="1" customWidth="1"/>
    <col min="27" max="27" width="12.88671875" style="11" bestFit="1" customWidth="1"/>
  </cols>
  <sheetData>
    <row r="1" spans="1:27" x14ac:dyDescent="0.3">
      <c r="A1" t="s">
        <v>139</v>
      </c>
      <c r="B1" t="s">
        <v>0</v>
      </c>
      <c r="C1" t="s">
        <v>165</v>
      </c>
      <c r="D1" t="s">
        <v>1</v>
      </c>
      <c r="E1" t="s">
        <v>2</v>
      </c>
      <c r="F1" t="s">
        <v>140</v>
      </c>
      <c r="G1" s="10" t="s">
        <v>141</v>
      </c>
      <c r="H1" t="s">
        <v>142</v>
      </c>
      <c r="I1" t="s">
        <v>143</v>
      </c>
      <c r="J1" t="s">
        <v>144</v>
      </c>
      <c r="K1" t="s">
        <v>145</v>
      </c>
      <c r="L1" t="s">
        <v>146</v>
      </c>
      <c r="M1" t="s">
        <v>147</v>
      </c>
      <c r="N1" t="s">
        <v>148</v>
      </c>
      <c r="O1" t="s">
        <v>149</v>
      </c>
      <c r="P1" t="s">
        <v>3</v>
      </c>
      <c r="Q1" t="s">
        <v>150</v>
      </c>
      <c r="R1" t="s">
        <v>151</v>
      </c>
      <c r="S1" t="s">
        <v>152</v>
      </c>
      <c r="T1" t="s">
        <v>153</v>
      </c>
      <c r="U1" t="s">
        <v>154</v>
      </c>
      <c r="V1" t="s">
        <v>155</v>
      </c>
      <c r="W1" t="s">
        <v>156</v>
      </c>
      <c r="X1" t="s">
        <v>4</v>
      </c>
      <c r="Y1" t="s">
        <v>5</v>
      </c>
      <c r="Z1" s="11" t="s">
        <v>163</v>
      </c>
      <c r="AA1" s="11" t="s">
        <v>164</v>
      </c>
    </row>
    <row r="2" spans="1:27" x14ac:dyDescent="0.3">
      <c r="A2" t="s">
        <v>157</v>
      </c>
      <c r="B2" t="s">
        <v>6</v>
      </c>
      <c r="C2" s="7">
        <f>Table1_1[[#This Row],[Number Of Products Sold]]/Table1_1[[#This Row],[Stock Levels]]</f>
        <v>13.827586206896552</v>
      </c>
      <c r="D2">
        <v>69.808005542115694</v>
      </c>
      <c r="E2">
        <v>55</v>
      </c>
      <c r="F2">
        <v>802</v>
      </c>
      <c r="G2" s="10">
        <v>8661.9967923923796</v>
      </c>
      <c r="H2" t="s">
        <v>158</v>
      </c>
      <c r="I2">
        <v>58</v>
      </c>
      <c r="J2">
        <v>7</v>
      </c>
      <c r="K2">
        <v>96</v>
      </c>
      <c r="L2">
        <v>4</v>
      </c>
      <c r="M2" t="s">
        <v>7</v>
      </c>
      <c r="N2">
        <v>2.9565721394308002</v>
      </c>
      <c r="O2" t="s">
        <v>8</v>
      </c>
      <c r="P2" t="s">
        <v>9</v>
      </c>
      <c r="Q2">
        <v>29</v>
      </c>
      <c r="R2">
        <v>215</v>
      </c>
      <c r="S2">
        <v>29</v>
      </c>
      <c r="T2">
        <v>46.279879240508301</v>
      </c>
      <c r="U2" t="s">
        <v>10</v>
      </c>
      <c r="V2">
        <v>0.226410360849925</v>
      </c>
      <c r="W2" t="s">
        <v>11</v>
      </c>
      <c r="X2" t="s">
        <v>12</v>
      </c>
      <c r="Y2">
        <v>187.75207545920301</v>
      </c>
      <c r="Z2" s="11">
        <f>Table1_1[[#This Row],[Shipping Costs]]+Table1_1[[#This Row],[Manufacturing Costs]]+Table1_1[[#This Row],[Costs]]</f>
        <v>236.98852683914211</v>
      </c>
      <c r="AA2" s="11">
        <f>Table1_1[[#This Row],[Revenue Generated]]-Table1_1[[#This Row],[COGS]]</f>
        <v>8425.0082655532369</v>
      </c>
    </row>
    <row r="3" spans="1:27" x14ac:dyDescent="0.3">
      <c r="A3" t="s">
        <v>159</v>
      </c>
      <c r="B3" t="s">
        <v>13</v>
      </c>
      <c r="C3" s="7">
        <f>Table1_1[[#This Row],[Number Of Products Sold]]/Table1_1[[#This Row],[Stock Levels]]</f>
        <v>13.886792452830189</v>
      </c>
      <c r="D3">
        <v>14.8435232750843</v>
      </c>
      <c r="E3">
        <v>95</v>
      </c>
      <c r="F3">
        <v>736</v>
      </c>
      <c r="G3" s="10">
        <v>7460.9000654458396</v>
      </c>
      <c r="H3" t="s">
        <v>14</v>
      </c>
      <c r="I3">
        <v>53</v>
      </c>
      <c r="J3">
        <v>30</v>
      </c>
      <c r="K3">
        <v>37</v>
      </c>
      <c r="L3">
        <v>2</v>
      </c>
      <c r="M3" t="s">
        <v>15</v>
      </c>
      <c r="N3">
        <v>9.7165747714313095</v>
      </c>
      <c r="O3" t="s">
        <v>8</v>
      </c>
      <c r="P3" t="s">
        <v>9</v>
      </c>
      <c r="Q3">
        <v>23</v>
      </c>
      <c r="R3">
        <v>517</v>
      </c>
      <c r="S3">
        <v>30</v>
      </c>
      <c r="T3">
        <v>33.616768953730002</v>
      </c>
      <c r="U3" t="s">
        <v>10</v>
      </c>
      <c r="V3">
        <v>4.8540680263886999</v>
      </c>
      <c r="W3" t="s">
        <v>11</v>
      </c>
      <c r="X3" t="s">
        <v>12</v>
      </c>
      <c r="Y3">
        <v>503.06557914966902</v>
      </c>
      <c r="Z3" s="11">
        <f>Table1_1[[#This Row],[Shipping Costs]]+Table1_1[[#This Row],[Manufacturing Costs]]+Table1_1[[#This Row],[Costs]]</f>
        <v>546.3989228748303</v>
      </c>
      <c r="AA3" s="11">
        <f>Table1_1[[#This Row],[Revenue Generated]]-Table1_1[[#This Row],[COGS]]</f>
        <v>6914.501142571009</v>
      </c>
    </row>
    <row r="4" spans="1:27" x14ac:dyDescent="0.3">
      <c r="A4" t="s">
        <v>157</v>
      </c>
      <c r="B4" t="s">
        <v>16</v>
      </c>
      <c r="C4" s="7">
        <f>Table1_1[[#This Row],[Number Of Products Sold]]/Table1_1[[#This Row],[Stock Levels]]</f>
        <v>8</v>
      </c>
      <c r="D4">
        <v>11.319683293090501</v>
      </c>
      <c r="E4">
        <v>34</v>
      </c>
      <c r="F4">
        <v>8</v>
      </c>
      <c r="G4" s="10">
        <v>9577.7496258687297</v>
      </c>
      <c r="H4" t="s">
        <v>17</v>
      </c>
      <c r="I4">
        <v>1</v>
      </c>
      <c r="J4">
        <v>10</v>
      </c>
      <c r="K4">
        <v>88</v>
      </c>
      <c r="L4">
        <v>2</v>
      </c>
      <c r="M4" t="s">
        <v>7</v>
      </c>
      <c r="N4">
        <v>8.0544792617321495</v>
      </c>
      <c r="O4" t="s">
        <v>18</v>
      </c>
      <c r="P4" t="s">
        <v>9</v>
      </c>
      <c r="Q4">
        <v>12</v>
      </c>
      <c r="R4">
        <v>971</v>
      </c>
      <c r="S4">
        <v>27</v>
      </c>
      <c r="T4">
        <v>30.6880193482842</v>
      </c>
      <c r="U4" t="s">
        <v>10</v>
      </c>
      <c r="V4">
        <v>4.5805926191992201</v>
      </c>
      <c r="W4" t="s">
        <v>19</v>
      </c>
      <c r="X4" t="s">
        <v>20</v>
      </c>
      <c r="Y4">
        <v>141.920281771519</v>
      </c>
      <c r="Z4" s="11">
        <f>Table1_1[[#This Row],[Shipping Costs]]+Table1_1[[#This Row],[Manufacturing Costs]]+Table1_1[[#This Row],[Costs]]</f>
        <v>180.66278038153536</v>
      </c>
      <c r="AA4" s="11">
        <f>Table1_1[[#This Row],[Revenue Generated]]-Table1_1[[#This Row],[COGS]]</f>
        <v>9397.0868454871943</v>
      </c>
    </row>
    <row r="5" spans="1:27" x14ac:dyDescent="0.3">
      <c r="A5" t="s">
        <v>159</v>
      </c>
      <c r="B5" t="s">
        <v>21</v>
      </c>
      <c r="C5" s="7">
        <f>Table1_1[[#This Row],[Number Of Products Sold]]/Table1_1[[#This Row],[Stock Levels]]</f>
        <v>3.6086956521739131</v>
      </c>
      <c r="D5">
        <v>61.1633430164377</v>
      </c>
      <c r="E5">
        <v>68</v>
      </c>
      <c r="F5">
        <v>83</v>
      </c>
      <c r="G5" s="10">
        <v>7766.8364256852301</v>
      </c>
      <c r="H5" t="s">
        <v>158</v>
      </c>
      <c r="I5">
        <v>23</v>
      </c>
      <c r="J5">
        <v>13</v>
      </c>
      <c r="K5">
        <v>59</v>
      </c>
      <c r="L5">
        <v>6</v>
      </c>
      <c r="M5" t="s">
        <v>22</v>
      </c>
      <c r="N5">
        <v>1.7295685635434199</v>
      </c>
      <c r="O5" t="s">
        <v>23</v>
      </c>
      <c r="P5" t="s">
        <v>24</v>
      </c>
      <c r="Q5">
        <v>24</v>
      </c>
      <c r="R5">
        <v>937</v>
      </c>
      <c r="S5">
        <v>18</v>
      </c>
      <c r="T5">
        <v>35.624741397125</v>
      </c>
      <c r="U5" t="s">
        <v>25</v>
      </c>
      <c r="V5">
        <v>4.7466486206477496</v>
      </c>
      <c r="W5" t="s">
        <v>26</v>
      </c>
      <c r="X5" t="s">
        <v>27</v>
      </c>
      <c r="Y5">
        <v>254.776159219286</v>
      </c>
      <c r="Z5" s="11">
        <f>Table1_1[[#This Row],[Shipping Costs]]+Table1_1[[#This Row],[Manufacturing Costs]]+Table1_1[[#This Row],[Costs]]</f>
        <v>292.13046917995439</v>
      </c>
      <c r="AA5" s="11">
        <f>Table1_1[[#This Row],[Revenue Generated]]-Table1_1[[#This Row],[COGS]]</f>
        <v>7474.7059565052759</v>
      </c>
    </row>
    <row r="6" spans="1:27" x14ac:dyDescent="0.3">
      <c r="A6" t="s">
        <v>159</v>
      </c>
      <c r="B6" t="s">
        <v>28</v>
      </c>
      <c r="C6" s="7">
        <f>Table1_1[[#This Row],[Number Of Products Sold]]/Table1_1[[#This Row],[Stock Levels]]</f>
        <v>174.2</v>
      </c>
      <c r="D6">
        <v>4.8054960363458896</v>
      </c>
      <c r="E6">
        <v>26</v>
      </c>
      <c r="F6">
        <v>871</v>
      </c>
      <c r="G6" s="10">
        <v>2686.50515156744</v>
      </c>
      <c r="H6" t="s">
        <v>158</v>
      </c>
      <c r="I6">
        <v>5</v>
      </c>
      <c r="J6">
        <v>3</v>
      </c>
      <c r="K6">
        <v>56</v>
      </c>
      <c r="L6">
        <v>8</v>
      </c>
      <c r="M6" t="s">
        <v>15</v>
      </c>
      <c r="N6">
        <v>3.8905479158706702</v>
      </c>
      <c r="O6" t="s">
        <v>18</v>
      </c>
      <c r="P6" t="s">
        <v>29</v>
      </c>
      <c r="Q6">
        <v>5</v>
      </c>
      <c r="R6">
        <v>414</v>
      </c>
      <c r="S6">
        <v>3</v>
      </c>
      <c r="T6">
        <v>92.065160598712794</v>
      </c>
      <c r="U6" t="s">
        <v>25</v>
      </c>
      <c r="V6">
        <v>3.1455795228330001</v>
      </c>
      <c r="W6" t="s">
        <v>19</v>
      </c>
      <c r="X6" t="s">
        <v>27</v>
      </c>
      <c r="Y6">
        <v>923.44063171192204</v>
      </c>
      <c r="Z6" s="11">
        <f>Table1_1[[#This Row],[Shipping Costs]]+Table1_1[[#This Row],[Manufacturing Costs]]+Table1_1[[#This Row],[Costs]]</f>
        <v>1019.3963402265055</v>
      </c>
      <c r="AA6" s="11">
        <f>Table1_1[[#This Row],[Revenue Generated]]-Table1_1[[#This Row],[COGS]]</f>
        <v>1667.1088113409346</v>
      </c>
    </row>
    <row r="7" spans="1:27" x14ac:dyDescent="0.3">
      <c r="A7" t="s">
        <v>157</v>
      </c>
      <c r="B7" t="s">
        <v>30</v>
      </c>
      <c r="C7" s="7">
        <f>Table1_1[[#This Row],[Number Of Products Sold]]/Table1_1[[#This Row],[Stock Levels]]</f>
        <v>1.6333333333333333</v>
      </c>
      <c r="D7">
        <v>1.6999760138659299</v>
      </c>
      <c r="E7">
        <v>87</v>
      </c>
      <c r="F7">
        <v>147</v>
      </c>
      <c r="G7" s="10">
        <v>2828.3487459757498</v>
      </c>
      <c r="H7" t="s">
        <v>158</v>
      </c>
      <c r="I7">
        <v>90</v>
      </c>
      <c r="J7">
        <v>27</v>
      </c>
      <c r="K7">
        <v>66</v>
      </c>
      <c r="L7">
        <v>3</v>
      </c>
      <c r="M7" t="s">
        <v>7</v>
      </c>
      <c r="N7">
        <v>4.4440988643822896</v>
      </c>
      <c r="O7" t="s">
        <v>31</v>
      </c>
      <c r="P7" t="s">
        <v>32</v>
      </c>
      <c r="Q7">
        <v>10</v>
      </c>
      <c r="R7">
        <v>104</v>
      </c>
      <c r="S7">
        <v>17</v>
      </c>
      <c r="T7">
        <v>56.766475557431797</v>
      </c>
      <c r="U7" t="s">
        <v>25</v>
      </c>
      <c r="V7">
        <v>2.7791935115711599</v>
      </c>
      <c r="W7" t="s">
        <v>11</v>
      </c>
      <c r="X7" t="s">
        <v>27</v>
      </c>
      <c r="Y7">
        <v>235.461236735537</v>
      </c>
      <c r="Z7" s="11">
        <f>Table1_1[[#This Row],[Shipping Costs]]+Table1_1[[#This Row],[Manufacturing Costs]]+Table1_1[[#This Row],[Costs]]</f>
        <v>296.6718111573511</v>
      </c>
      <c r="AA7" s="11">
        <f>Table1_1[[#This Row],[Revenue Generated]]-Table1_1[[#This Row],[COGS]]</f>
        <v>2531.6769348183989</v>
      </c>
    </row>
    <row r="8" spans="1:27" x14ac:dyDescent="0.3">
      <c r="A8" t="s">
        <v>159</v>
      </c>
      <c r="B8" t="s">
        <v>33</v>
      </c>
      <c r="C8" s="7">
        <f>Table1_1[[#This Row],[Number Of Products Sold]]/Table1_1[[#This Row],[Stock Levels]]</f>
        <v>5.9090909090909092</v>
      </c>
      <c r="D8">
        <v>4.0783328631079403</v>
      </c>
      <c r="E8">
        <v>48</v>
      </c>
      <c r="F8">
        <v>65</v>
      </c>
      <c r="G8" s="10">
        <v>7823.4765595317303</v>
      </c>
      <c r="H8" t="s">
        <v>34</v>
      </c>
      <c r="I8">
        <v>11</v>
      </c>
      <c r="J8">
        <v>15</v>
      </c>
      <c r="K8">
        <v>58</v>
      </c>
      <c r="L8">
        <v>8</v>
      </c>
      <c r="M8" t="s">
        <v>22</v>
      </c>
      <c r="N8">
        <v>3.8807633029519999</v>
      </c>
      <c r="O8" t="s">
        <v>8</v>
      </c>
      <c r="P8" t="s">
        <v>24</v>
      </c>
      <c r="Q8">
        <v>14</v>
      </c>
      <c r="R8">
        <v>314</v>
      </c>
      <c r="S8">
        <v>24</v>
      </c>
      <c r="T8">
        <v>1.0850685695870601</v>
      </c>
      <c r="U8" t="s">
        <v>10</v>
      </c>
      <c r="V8">
        <v>1.0009106193041299</v>
      </c>
      <c r="W8" t="s">
        <v>35</v>
      </c>
      <c r="X8" t="s">
        <v>27</v>
      </c>
      <c r="Y8">
        <v>134.36909686103101</v>
      </c>
      <c r="Z8" s="11">
        <f>Table1_1[[#This Row],[Shipping Costs]]+Table1_1[[#This Row],[Manufacturing Costs]]+Table1_1[[#This Row],[Costs]]</f>
        <v>139.33492873357008</v>
      </c>
      <c r="AA8" s="11">
        <f>Table1_1[[#This Row],[Revenue Generated]]-Table1_1[[#This Row],[COGS]]</f>
        <v>7684.1416307981599</v>
      </c>
    </row>
    <row r="9" spans="1:27" x14ac:dyDescent="0.3">
      <c r="A9" t="s">
        <v>160</v>
      </c>
      <c r="B9" t="s">
        <v>36</v>
      </c>
      <c r="C9" s="7">
        <f>Table1_1[[#This Row],[Number Of Products Sold]]/Table1_1[[#This Row],[Stock Levels]]</f>
        <v>4.580645161290323</v>
      </c>
      <c r="D9">
        <v>42.958384382459997</v>
      </c>
      <c r="E9">
        <v>59</v>
      </c>
      <c r="F9">
        <v>426</v>
      </c>
      <c r="G9" s="10">
        <v>8496.1038130898305</v>
      </c>
      <c r="H9" t="s">
        <v>14</v>
      </c>
      <c r="I9">
        <v>93</v>
      </c>
      <c r="J9">
        <v>17</v>
      </c>
      <c r="K9">
        <v>11</v>
      </c>
      <c r="L9">
        <v>1</v>
      </c>
      <c r="M9" t="s">
        <v>7</v>
      </c>
      <c r="N9">
        <v>2.3483387844177801</v>
      </c>
      <c r="O9" t="s">
        <v>31</v>
      </c>
      <c r="P9" t="s">
        <v>32</v>
      </c>
      <c r="Q9">
        <v>22</v>
      </c>
      <c r="R9">
        <v>564</v>
      </c>
      <c r="S9">
        <v>1</v>
      </c>
      <c r="T9">
        <v>99.466108603599096</v>
      </c>
      <c r="U9" t="s">
        <v>25</v>
      </c>
      <c r="V9">
        <v>0.39817718685065001</v>
      </c>
      <c r="W9" t="s">
        <v>11</v>
      </c>
      <c r="X9" t="s">
        <v>20</v>
      </c>
      <c r="Y9">
        <v>802.05631181755803</v>
      </c>
      <c r="Z9" s="11">
        <f>Table1_1[[#This Row],[Shipping Costs]]+Table1_1[[#This Row],[Manufacturing Costs]]+Table1_1[[#This Row],[Costs]]</f>
        <v>903.87075920557493</v>
      </c>
      <c r="AA9" s="11">
        <f>Table1_1[[#This Row],[Revenue Generated]]-Table1_1[[#This Row],[COGS]]</f>
        <v>7592.2330538842552</v>
      </c>
    </row>
    <row r="10" spans="1:27" x14ac:dyDescent="0.3">
      <c r="A10" t="s">
        <v>160</v>
      </c>
      <c r="B10" t="s">
        <v>37</v>
      </c>
      <c r="C10" s="7">
        <f>Table1_1[[#This Row],[Number Of Products Sold]]/Table1_1[[#This Row],[Stock Levels]]</f>
        <v>30</v>
      </c>
      <c r="D10">
        <v>68.717596748527299</v>
      </c>
      <c r="E10">
        <v>78</v>
      </c>
      <c r="F10">
        <v>150</v>
      </c>
      <c r="G10" s="10">
        <v>7517.3632106311197</v>
      </c>
      <c r="H10" t="s">
        <v>14</v>
      </c>
      <c r="I10">
        <v>5</v>
      </c>
      <c r="J10">
        <v>10</v>
      </c>
      <c r="K10">
        <v>15</v>
      </c>
      <c r="L10">
        <v>7</v>
      </c>
      <c r="M10" t="s">
        <v>22</v>
      </c>
      <c r="N10">
        <v>3.4047338570830199</v>
      </c>
      <c r="O10" t="s">
        <v>31</v>
      </c>
      <c r="P10" t="s">
        <v>9</v>
      </c>
      <c r="Q10">
        <v>13</v>
      </c>
      <c r="R10">
        <v>769</v>
      </c>
      <c r="S10">
        <v>8</v>
      </c>
      <c r="T10">
        <v>11.423027139565599</v>
      </c>
      <c r="U10" t="s">
        <v>10</v>
      </c>
      <c r="V10">
        <v>2.7098626911099601</v>
      </c>
      <c r="W10" t="s">
        <v>35</v>
      </c>
      <c r="X10" t="s">
        <v>12</v>
      </c>
      <c r="Y10">
        <v>505.55713422546398</v>
      </c>
      <c r="Z10" s="11">
        <f>Table1_1[[#This Row],[Shipping Costs]]+Table1_1[[#This Row],[Manufacturing Costs]]+Table1_1[[#This Row],[Costs]]</f>
        <v>520.38489522211262</v>
      </c>
      <c r="AA10" s="11">
        <f>Table1_1[[#This Row],[Revenue Generated]]-Table1_1[[#This Row],[COGS]]</f>
        <v>6996.9783154090073</v>
      </c>
    </row>
    <row r="11" spans="1:27" x14ac:dyDescent="0.3">
      <c r="A11" t="s">
        <v>159</v>
      </c>
      <c r="B11" t="s">
        <v>38</v>
      </c>
      <c r="C11" s="7">
        <f>Table1_1[[#This Row],[Number Of Products Sold]]/Table1_1[[#This Row],[Stock Levels]]</f>
        <v>70</v>
      </c>
      <c r="D11">
        <v>64.0157329412785</v>
      </c>
      <c r="E11">
        <v>35</v>
      </c>
      <c r="F11">
        <v>980</v>
      </c>
      <c r="G11" s="10">
        <v>4971.1459875855498</v>
      </c>
      <c r="H11" t="s">
        <v>17</v>
      </c>
      <c r="I11">
        <v>14</v>
      </c>
      <c r="J11">
        <v>27</v>
      </c>
      <c r="K11">
        <v>83</v>
      </c>
      <c r="L11">
        <v>1</v>
      </c>
      <c r="M11" t="s">
        <v>15</v>
      </c>
      <c r="N11">
        <v>7.1666452910482104</v>
      </c>
      <c r="O11" t="s">
        <v>39</v>
      </c>
      <c r="P11" t="s">
        <v>40</v>
      </c>
      <c r="Q11">
        <v>29</v>
      </c>
      <c r="R11">
        <v>963</v>
      </c>
      <c r="S11">
        <v>23</v>
      </c>
      <c r="T11">
        <v>47.957601634951502</v>
      </c>
      <c r="U11" t="s">
        <v>10</v>
      </c>
      <c r="V11">
        <v>3.8446144787675798</v>
      </c>
      <c r="W11" t="s">
        <v>26</v>
      </c>
      <c r="X11" t="s">
        <v>12</v>
      </c>
      <c r="Y11">
        <v>995.92946149864099</v>
      </c>
      <c r="Z11" s="11">
        <f>Table1_1[[#This Row],[Shipping Costs]]+Table1_1[[#This Row],[Manufacturing Costs]]+Table1_1[[#This Row],[Costs]]</f>
        <v>1051.0537084246407</v>
      </c>
      <c r="AA11" s="11">
        <f>Table1_1[[#This Row],[Revenue Generated]]-Table1_1[[#This Row],[COGS]]</f>
        <v>3920.0922791609091</v>
      </c>
    </row>
    <row r="12" spans="1:27" x14ac:dyDescent="0.3">
      <c r="A12" t="s">
        <v>159</v>
      </c>
      <c r="B12" t="s">
        <v>41</v>
      </c>
      <c r="C12" s="7">
        <f>Table1_1[[#This Row],[Number Of Products Sold]]/Table1_1[[#This Row],[Stock Levels]]</f>
        <v>19.529411764705884</v>
      </c>
      <c r="D12">
        <v>15.707795681912099</v>
      </c>
      <c r="E12">
        <v>11</v>
      </c>
      <c r="F12">
        <v>996</v>
      </c>
      <c r="G12" s="10">
        <v>2330.9658020919401</v>
      </c>
      <c r="H12" t="s">
        <v>158</v>
      </c>
      <c r="I12">
        <v>51</v>
      </c>
      <c r="J12">
        <v>13</v>
      </c>
      <c r="K12">
        <v>80</v>
      </c>
      <c r="L12">
        <v>2</v>
      </c>
      <c r="M12" t="s">
        <v>22</v>
      </c>
      <c r="N12">
        <v>8.6732112112786108</v>
      </c>
      <c r="O12" t="s">
        <v>23</v>
      </c>
      <c r="P12" t="s">
        <v>24</v>
      </c>
      <c r="Q12">
        <v>18</v>
      </c>
      <c r="R12">
        <v>830</v>
      </c>
      <c r="S12">
        <v>5</v>
      </c>
      <c r="T12">
        <v>96.527352785310896</v>
      </c>
      <c r="U12" t="s">
        <v>42</v>
      </c>
      <c r="V12">
        <v>1.72731392835594</v>
      </c>
      <c r="W12" t="s">
        <v>11</v>
      </c>
      <c r="X12" t="s">
        <v>12</v>
      </c>
      <c r="Y12">
        <v>806.10317770292295</v>
      </c>
      <c r="Z12" s="11">
        <f>Table1_1[[#This Row],[Shipping Costs]]+Table1_1[[#This Row],[Manufacturing Costs]]+Table1_1[[#This Row],[Costs]]</f>
        <v>911.30374169951244</v>
      </c>
      <c r="AA12" s="11">
        <f>Table1_1[[#This Row],[Revenue Generated]]-Table1_1[[#This Row],[COGS]]</f>
        <v>1419.6620603924275</v>
      </c>
    </row>
    <row r="13" spans="1:27" x14ac:dyDescent="0.3">
      <c r="A13" t="s">
        <v>159</v>
      </c>
      <c r="B13" t="s">
        <v>43</v>
      </c>
      <c r="C13" s="7">
        <f>Table1_1[[#This Row],[Number Of Products Sold]]/Table1_1[[#This Row],[Stock Levels]]</f>
        <v>20.869565217391305</v>
      </c>
      <c r="D13">
        <v>90.635459982288594</v>
      </c>
      <c r="E13">
        <v>95</v>
      </c>
      <c r="F13">
        <v>960</v>
      </c>
      <c r="G13" s="10">
        <v>6099.9441155814502</v>
      </c>
      <c r="H13" t="s">
        <v>14</v>
      </c>
      <c r="I13">
        <v>46</v>
      </c>
      <c r="J13">
        <v>23</v>
      </c>
      <c r="K13">
        <v>60</v>
      </c>
      <c r="L13">
        <v>1</v>
      </c>
      <c r="M13" t="s">
        <v>15</v>
      </c>
      <c r="N13">
        <v>4.5239431243166601</v>
      </c>
      <c r="O13" t="s">
        <v>39</v>
      </c>
      <c r="P13" t="s">
        <v>24</v>
      </c>
      <c r="Q13">
        <v>28</v>
      </c>
      <c r="R13">
        <v>362</v>
      </c>
      <c r="S13">
        <v>11</v>
      </c>
      <c r="T13">
        <v>27.5923630866636</v>
      </c>
      <c r="U13" t="s">
        <v>10</v>
      </c>
      <c r="V13">
        <v>2.1169821372994301E-2</v>
      </c>
      <c r="W13" t="s">
        <v>19</v>
      </c>
      <c r="X13" t="s">
        <v>27</v>
      </c>
      <c r="Y13">
        <v>126.72303340940699</v>
      </c>
      <c r="Z13" s="11">
        <f>Table1_1[[#This Row],[Shipping Costs]]+Table1_1[[#This Row],[Manufacturing Costs]]+Table1_1[[#This Row],[Costs]]</f>
        <v>158.83933962038725</v>
      </c>
      <c r="AA13" s="11">
        <f>Table1_1[[#This Row],[Revenue Generated]]-Table1_1[[#This Row],[COGS]]</f>
        <v>5941.1047759610628</v>
      </c>
    </row>
    <row r="14" spans="1:27" x14ac:dyDescent="0.3">
      <c r="A14" t="s">
        <v>157</v>
      </c>
      <c r="B14" t="s">
        <v>44</v>
      </c>
      <c r="C14" s="7">
        <f>Table1_1[[#This Row],[Number Of Products Sold]]/Table1_1[[#This Row],[Stock Levels]]</f>
        <v>3.36</v>
      </c>
      <c r="D14">
        <v>71.213389075359999</v>
      </c>
      <c r="E14">
        <v>41</v>
      </c>
      <c r="F14">
        <v>336</v>
      </c>
      <c r="G14" s="10">
        <v>2873.74144602144</v>
      </c>
      <c r="H14" t="s">
        <v>17</v>
      </c>
      <c r="I14">
        <v>100</v>
      </c>
      <c r="J14">
        <v>30</v>
      </c>
      <c r="K14">
        <v>85</v>
      </c>
      <c r="L14">
        <v>4</v>
      </c>
      <c r="M14" t="s">
        <v>15</v>
      </c>
      <c r="N14">
        <v>1.32527401018452</v>
      </c>
      <c r="O14" t="s">
        <v>31</v>
      </c>
      <c r="P14" t="s">
        <v>24</v>
      </c>
      <c r="Q14">
        <v>3</v>
      </c>
      <c r="R14">
        <v>563</v>
      </c>
      <c r="S14">
        <v>3</v>
      </c>
      <c r="T14">
        <v>32.321286213424003</v>
      </c>
      <c r="U14" t="s">
        <v>25</v>
      </c>
      <c r="V14">
        <v>2.1612537475559099</v>
      </c>
      <c r="W14" t="s">
        <v>11</v>
      </c>
      <c r="X14" t="s">
        <v>12</v>
      </c>
      <c r="Y14">
        <v>402.96878907376998</v>
      </c>
      <c r="Z14" s="11">
        <f>Table1_1[[#This Row],[Shipping Costs]]+Table1_1[[#This Row],[Manufacturing Costs]]+Table1_1[[#This Row],[Costs]]</f>
        <v>436.61534929737849</v>
      </c>
      <c r="AA14" s="11">
        <f>Table1_1[[#This Row],[Revenue Generated]]-Table1_1[[#This Row],[COGS]]</f>
        <v>2437.1260967240614</v>
      </c>
    </row>
    <row r="15" spans="1:27" x14ac:dyDescent="0.3">
      <c r="A15" t="s">
        <v>159</v>
      </c>
      <c r="B15" t="s">
        <v>45</v>
      </c>
      <c r="C15" s="7">
        <f>Table1_1[[#This Row],[Number Of Products Sold]]/Table1_1[[#This Row],[Stock Levels]]</f>
        <v>3.1124999999999998</v>
      </c>
      <c r="D15">
        <v>16.160393317379899</v>
      </c>
      <c r="E15">
        <v>5</v>
      </c>
      <c r="F15">
        <v>249</v>
      </c>
      <c r="G15" s="10">
        <v>4052.7384162378598</v>
      </c>
      <c r="H15" t="s">
        <v>34</v>
      </c>
      <c r="I15">
        <v>80</v>
      </c>
      <c r="J15">
        <v>8</v>
      </c>
      <c r="K15">
        <v>48</v>
      </c>
      <c r="L15">
        <v>9</v>
      </c>
      <c r="M15" t="s">
        <v>15</v>
      </c>
      <c r="N15">
        <v>9.5372830611083295</v>
      </c>
      <c r="O15" t="s">
        <v>23</v>
      </c>
      <c r="P15" t="s">
        <v>32</v>
      </c>
      <c r="Q15">
        <v>23</v>
      </c>
      <c r="R15">
        <v>173</v>
      </c>
      <c r="S15">
        <v>10</v>
      </c>
      <c r="T15">
        <v>97.829050110173199</v>
      </c>
      <c r="U15" t="s">
        <v>10</v>
      </c>
      <c r="V15">
        <v>1.63107423007153</v>
      </c>
      <c r="W15" t="s">
        <v>11</v>
      </c>
      <c r="X15" t="s">
        <v>12</v>
      </c>
      <c r="Y15">
        <v>547.24100516096803</v>
      </c>
      <c r="Z15" s="11">
        <f>Table1_1[[#This Row],[Shipping Costs]]+Table1_1[[#This Row],[Manufacturing Costs]]+Table1_1[[#This Row],[Costs]]</f>
        <v>654.60733833224958</v>
      </c>
      <c r="AA15" s="11">
        <f>Table1_1[[#This Row],[Revenue Generated]]-Table1_1[[#This Row],[COGS]]</f>
        <v>3398.1310779056103</v>
      </c>
    </row>
    <row r="16" spans="1:27" x14ac:dyDescent="0.3">
      <c r="A16" t="s">
        <v>159</v>
      </c>
      <c r="B16" t="s">
        <v>46</v>
      </c>
      <c r="C16" s="7">
        <f>Table1_1[[#This Row],[Number Of Products Sold]]/Table1_1[[#This Row],[Stock Levels]]</f>
        <v>10.407407407407407</v>
      </c>
      <c r="D16">
        <v>99.171328638624104</v>
      </c>
      <c r="E16">
        <v>26</v>
      </c>
      <c r="F16">
        <v>562</v>
      </c>
      <c r="G16" s="10">
        <v>8653.5709264697998</v>
      </c>
      <c r="H16" t="s">
        <v>158</v>
      </c>
      <c r="I16">
        <v>54</v>
      </c>
      <c r="J16">
        <v>29</v>
      </c>
      <c r="K16">
        <v>78</v>
      </c>
      <c r="L16">
        <v>5</v>
      </c>
      <c r="M16" t="s">
        <v>7</v>
      </c>
      <c r="N16">
        <v>2.0397701894493299</v>
      </c>
      <c r="O16" t="s">
        <v>18</v>
      </c>
      <c r="P16" t="s">
        <v>24</v>
      </c>
      <c r="Q16">
        <v>25</v>
      </c>
      <c r="R16">
        <v>558</v>
      </c>
      <c r="S16">
        <v>14</v>
      </c>
      <c r="T16">
        <v>5.7914366298629796</v>
      </c>
      <c r="U16" t="s">
        <v>10</v>
      </c>
      <c r="V16">
        <v>0.100682851565093</v>
      </c>
      <c r="W16" t="s">
        <v>19</v>
      </c>
      <c r="X16" t="s">
        <v>12</v>
      </c>
      <c r="Y16">
        <v>929.23528996088896</v>
      </c>
      <c r="Z16" s="11">
        <f>Table1_1[[#This Row],[Shipping Costs]]+Table1_1[[#This Row],[Manufacturing Costs]]+Table1_1[[#This Row],[Costs]]</f>
        <v>937.06649678020131</v>
      </c>
      <c r="AA16" s="11">
        <f>Table1_1[[#This Row],[Revenue Generated]]-Table1_1[[#This Row],[COGS]]</f>
        <v>7716.5044296895985</v>
      </c>
    </row>
    <row r="17" spans="1:27" x14ac:dyDescent="0.3">
      <c r="A17" t="s">
        <v>159</v>
      </c>
      <c r="B17" t="s">
        <v>47</v>
      </c>
      <c r="C17" s="7">
        <f>Table1_1[[#This Row],[Number Of Products Sold]]/Table1_1[[#This Row],[Stock Levels]]</f>
        <v>52.111111111111114</v>
      </c>
      <c r="D17">
        <v>36.989244928626903</v>
      </c>
      <c r="E17">
        <v>94</v>
      </c>
      <c r="F17">
        <v>469</v>
      </c>
      <c r="G17" s="10">
        <v>5442.0867853976697</v>
      </c>
      <c r="H17" t="s">
        <v>158</v>
      </c>
      <c r="I17">
        <v>9</v>
      </c>
      <c r="J17">
        <v>8</v>
      </c>
      <c r="K17">
        <v>69</v>
      </c>
      <c r="L17">
        <v>7</v>
      </c>
      <c r="M17" t="s">
        <v>7</v>
      </c>
      <c r="N17">
        <v>2.4220397232752</v>
      </c>
      <c r="O17" t="s">
        <v>18</v>
      </c>
      <c r="P17" t="s">
        <v>32</v>
      </c>
      <c r="Q17">
        <v>14</v>
      </c>
      <c r="R17">
        <v>580</v>
      </c>
      <c r="S17">
        <v>7</v>
      </c>
      <c r="T17">
        <v>97.121281751474299</v>
      </c>
      <c r="U17" t="s">
        <v>42</v>
      </c>
      <c r="V17">
        <v>2.2644057611985402</v>
      </c>
      <c r="W17" t="s">
        <v>35</v>
      </c>
      <c r="X17" t="s">
        <v>12</v>
      </c>
      <c r="Y17">
        <v>127.861800001625</v>
      </c>
      <c r="Z17" s="11">
        <f>Table1_1[[#This Row],[Shipping Costs]]+Table1_1[[#This Row],[Manufacturing Costs]]+Table1_1[[#This Row],[Costs]]</f>
        <v>227.40512147637452</v>
      </c>
      <c r="AA17" s="11">
        <f>Table1_1[[#This Row],[Revenue Generated]]-Table1_1[[#This Row],[COGS]]</f>
        <v>5214.6816639212948</v>
      </c>
    </row>
    <row r="18" spans="1:27" x14ac:dyDescent="0.3">
      <c r="A18" t="s">
        <v>159</v>
      </c>
      <c r="B18" t="s">
        <v>48</v>
      </c>
      <c r="C18" s="7">
        <f>Table1_1[[#This Row],[Number Of Products Sold]]/Table1_1[[#This Row],[Stock Levels]]</f>
        <v>140</v>
      </c>
      <c r="D18">
        <v>7.5471721097912701</v>
      </c>
      <c r="E18">
        <v>74</v>
      </c>
      <c r="F18">
        <v>280</v>
      </c>
      <c r="G18" s="10">
        <v>6453.7979681762799</v>
      </c>
      <c r="H18" t="s">
        <v>14</v>
      </c>
      <c r="I18">
        <v>2</v>
      </c>
      <c r="J18">
        <v>5</v>
      </c>
      <c r="K18">
        <v>78</v>
      </c>
      <c r="L18">
        <v>1</v>
      </c>
      <c r="M18" t="s">
        <v>7</v>
      </c>
      <c r="N18">
        <v>4.1913245857054999</v>
      </c>
      <c r="O18" t="s">
        <v>18</v>
      </c>
      <c r="P18" t="s">
        <v>32</v>
      </c>
      <c r="Q18">
        <v>3</v>
      </c>
      <c r="R18">
        <v>399</v>
      </c>
      <c r="S18">
        <v>21</v>
      </c>
      <c r="T18">
        <v>77.106342497849994</v>
      </c>
      <c r="U18" t="s">
        <v>42</v>
      </c>
      <c r="V18">
        <v>1.01256308925804</v>
      </c>
      <c r="W18" t="s">
        <v>19</v>
      </c>
      <c r="X18" t="s">
        <v>27</v>
      </c>
      <c r="Y18">
        <v>865.52577977123997</v>
      </c>
      <c r="Z18" s="11">
        <f>Table1_1[[#This Row],[Shipping Costs]]+Table1_1[[#This Row],[Manufacturing Costs]]+Table1_1[[#This Row],[Costs]]</f>
        <v>946.82344685479552</v>
      </c>
      <c r="AA18" s="11">
        <f>Table1_1[[#This Row],[Revenue Generated]]-Table1_1[[#This Row],[COGS]]</f>
        <v>5506.9745213214846</v>
      </c>
    </row>
    <row r="19" spans="1:27" x14ac:dyDescent="0.3">
      <c r="A19" t="s">
        <v>160</v>
      </c>
      <c r="B19" t="s">
        <v>49</v>
      </c>
      <c r="C19" s="7">
        <f>Table1_1[[#This Row],[Number Of Products Sold]]/Table1_1[[#This Row],[Stock Levels]]</f>
        <v>2.8</v>
      </c>
      <c r="D19">
        <v>81.462534369237005</v>
      </c>
      <c r="E19">
        <v>82</v>
      </c>
      <c r="F19">
        <v>126</v>
      </c>
      <c r="G19" s="10">
        <v>2629.39643484526</v>
      </c>
      <c r="H19" t="s">
        <v>14</v>
      </c>
      <c r="I19">
        <v>45</v>
      </c>
      <c r="J19">
        <v>17</v>
      </c>
      <c r="K19">
        <v>85</v>
      </c>
      <c r="L19">
        <v>9</v>
      </c>
      <c r="M19" t="s">
        <v>22</v>
      </c>
      <c r="N19">
        <v>3.5854189582323399</v>
      </c>
      <c r="O19" t="s">
        <v>18</v>
      </c>
      <c r="P19" t="s">
        <v>40</v>
      </c>
      <c r="Q19">
        <v>7</v>
      </c>
      <c r="R19">
        <v>453</v>
      </c>
      <c r="S19">
        <v>16</v>
      </c>
      <c r="T19">
        <v>47.679680368355299</v>
      </c>
      <c r="U19" t="s">
        <v>25</v>
      </c>
      <c r="V19">
        <v>0.102020754918176</v>
      </c>
      <c r="W19" t="s">
        <v>19</v>
      </c>
      <c r="X19" t="s">
        <v>20</v>
      </c>
      <c r="Y19">
        <v>670.93439079241</v>
      </c>
      <c r="Z19" s="11">
        <f>Table1_1[[#This Row],[Shipping Costs]]+Table1_1[[#This Row],[Manufacturing Costs]]+Table1_1[[#This Row],[Costs]]</f>
        <v>722.19949011899769</v>
      </c>
      <c r="AA19" s="11">
        <f>Table1_1[[#This Row],[Revenue Generated]]-Table1_1[[#This Row],[COGS]]</f>
        <v>1907.1969447262622</v>
      </c>
    </row>
    <row r="20" spans="1:27" x14ac:dyDescent="0.3">
      <c r="A20" t="s">
        <v>157</v>
      </c>
      <c r="B20" t="s">
        <v>50</v>
      </c>
      <c r="C20" s="7">
        <f>Table1_1[[#This Row],[Number Of Products Sold]]/Table1_1[[#This Row],[Stock Levels]]</f>
        <v>62</v>
      </c>
      <c r="D20">
        <v>36.4436277704609</v>
      </c>
      <c r="E20">
        <v>23</v>
      </c>
      <c r="F20">
        <v>620</v>
      </c>
      <c r="G20" s="10">
        <v>9364.6735050761708</v>
      </c>
      <c r="H20" t="s">
        <v>17</v>
      </c>
      <c r="I20">
        <v>10</v>
      </c>
      <c r="J20">
        <v>10</v>
      </c>
      <c r="K20">
        <v>46</v>
      </c>
      <c r="L20">
        <v>8</v>
      </c>
      <c r="M20" t="s">
        <v>22</v>
      </c>
      <c r="N20">
        <v>4.3392247141107001</v>
      </c>
      <c r="O20" t="s">
        <v>39</v>
      </c>
      <c r="P20" t="s">
        <v>24</v>
      </c>
      <c r="Q20">
        <v>18</v>
      </c>
      <c r="R20">
        <v>374</v>
      </c>
      <c r="S20">
        <v>17</v>
      </c>
      <c r="T20">
        <v>27.107980854843898</v>
      </c>
      <c r="U20" t="s">
        <v>10</v>
      </c>
      <c r="V20">
        <v>2.2319391107292601</v>
      </c>
      <c r="W20" t="s">
        <v>35</v>
      </c>
      <c r="X20" t="s">
        <v>27</v>
      </c>
      <c r="Y20">
        <v>593.48025872065102</v>
      </c>
      <c r="Z20" s="11">
        <f>Table1_1[[#This Row],[Shipping Costs]]+Table1_1[[#This Row],[Manufacturing Costs]]+Table1_1[[#This Row],[Costs]]</f>
        <v>624.92746428960561</v>
      </c>
      <c r="AA20" s="11">
        <f>Table1_1[[#This Row],[Revenue Generated]]-Table1_1[[#This Row],[COGS]]</f>
        <v>8739.7460407865656</v>
      </c>
    </row>
    <row r="21" spans="1:27" x14ac:dyDescent="0.3">
      <c r="A21" t="s">
        <v>159</v>
      </c>
      <c r="B21" t="s">
        <v>51</v>
      </c>
      <c r="C21" s="7">
        <f>Table1_1[[#This Row],[Number Of Products Sold]]/Table1_1[[#This Row],[Stock Levels]]</f>
        <v>3.8958333333333335</v>
      </c>
      <c r="D21">
        <v>51.123870087964697</v>
      </c>
      <c r="E21">
        <v>100</v>
      </c>
      <c r="F21">
        <v>187</v>
      </c>
      <c r="G21" s="10">
        <v>2553.4955849912099</v>
      </c>
      <c r="H21" t="s">
        <v>17</v>
      </c>
      <c r="I21">
        <v>48</v>
      </c>
      <c r="J21">
        <v>11</v>
      </c>
      <c r="K21">
        <v>94</v>
      </c>
      <c r="L21">
        <v>3</v>
      </c>
      <c r="M21" t="s">
        <v>15</v>
      </c>
      <c r="N21">
        <v>4.7426358828418698</v>
      </c>
      <c r="O21" t="s">
        <v>31</v>
      </c>
      <c r="P21" t="s">
        <v>40</v>
      </c>
      <c r="Q21">
        <v>20</v>
      </c>
      <c r="R21">
        <v>694</v>
      </c>
      <c r="S21">
        <v>16</v>
      </c>
      <c r="T21">
        <v>82.373320587990193</v>
      </c>
      <c r="U21" t="s">
        <v>25</v>
      </c>
      <c r="V21">
        <v>3.64645086541702</v>
      </c>
      <c r="W21" t="s">
        <v>11</v>
      </c>
      <c r="X21" t="s">
        <v>20</v>
      </c>
      <c r="Y21">
        <v>477.30763109090299</v>
      </c>
      <c r="Z21" s="11">
        <f>Table1_1[[#This Row],[Shipping Costs]]+Table1_1[[#This Row],[Manufacturing Costs]]+Table1_1[[#This Row],[Costs]]</f>
        <v>564.42358756173508</v>
      </c>
      <c r="AA21" s="11">
        <f>Table1_1[[#This Row],[Revenue Generated]]-Table1_1[[#This Row],[COGS]]</f>
        <v>1989.0719974294748</v>
      </c>
    </row>
    <row r="22" spans="1:27" x14ac:dyDescent="0.3">
      <c r="A22" t="s">
        <v>159</v>
      </c>
      <c r="B22" t="s">
        <v>52</v>
      </c>
      <c r="C22" s="7">
        <f>Table1_1[[#This Row],[Number Of Products Sold]]/Table1_1[[#This Row],[Stock Levels]]</f>
        <v>11.851851851851851</v>
      </c>
      <c r="D22">
        <v>96.341072439963298</v>
      </c>
      <c r="E22">
        <v>22</v>
      </c>
      <c r="F22">
        <v>320</v>
      </c>
      <c r="G22" s="10">
        <v>8128.0276968511898</v>
      </c>
      <c r="H22" t="s">
        <v>17</v>
      </c>
      <c r="I22">
        <v>27</v>
      </c>
      <c r="J22">
        <v>12</v>
      </c>
      <c r="K22">
        <v>68</v>
      </c>
      <c r="L22">
        <v>6</v>
      </c>
      <c r="M22" t="s">
        <v>15</v>
      </c>
      <c r="N22">
        <v>8.8783346509268402</v>
      </c>
      <c r="O22" t="s">
        <v>18</v>
      </c>
      <c r="P22" t="s">
        <v>40</v>
      </c>
      <c r="Q22">
        <v>29</v>
      </c>
      <c r="R22">
        <v>309</v>
      </c>
      <c r="S22">
        <v>6</v>
      </c>
      <c r="T22">
        <v>65.686259608488598</v>
      </c>
      <c r="U22" t="s">
        <v>42</v>
      </c>
      <c r="V22">
        <v>4.2314165735345304</v>
      </c>
      <c r="W22" t="s">
        <v>19</v>
      </c>
      <c r="X22" t="s">
        <v>12</v>
      </c>
      <c r="Y22">
        <v>493.871215316205</v>
      </c>
      <c r="Z22" s="11">
        <f>Table1_1[[#This Row],[Shipping Costs]]+Table1_1[[#This Row],[Manufacturing Costs]]+Table1_1[[#This Row],[Costs]]</f>
        <v>568.4358095756204</v>
      </c>
      <c r="AA22" s="11">
        <f>Table1_1[[#This Row],[Revenue Generated]]-Table1_1[[#This Row],[COGS]]</f>
        <v>7559.5918872755692</v>
      </c>
    </row>
    <row r="23" spans="1:27" x14ac:dyDescent="0.3">
      <c r="A23" t="s">
        <v>160</v>
      </c>
      <c r="B23" t="s">
        <v>53</v>
      </c>
      <c r="C23" s="7">
        <f>Table1_1[[#This Row],[Number Of Products Sold]]/Table1_1[[#This Row],[Stock Levels]]</f>
        <v>8.7101449275362324</v>
      </c>
      <c r="D23">
        <v>84.893868984950799</v>
      </c>
      <c r="E23">
        <v>60</v>
      </c>
      <c r="F23">
        <v>601</v>
      </c>
      <c r="G23" s="10">
        <v>7087.0526963574302</v>
      </c>
      <c r="H23" t="s">
        <v>17</v>
      </c>
      <c r="I23">
        <v>69</v>
      </c>
      <c r="J23">
        <v>25</v>
      </c>
      <c r="K23">
        <v>7</v>
      </c>
      <c r="L23">
        <v>6</v>
      </c>
      <c r="M23" t="s">
        <v>7</v>
      </c>
      <c r="N23">
        <v>6.0378837692182898</v>
      </c>
      <c r="O23" t="s">
        <v>23</v>
      </c>
      <c r="P23" t="s">
        <v>40</v>
      </c>
      <c r="Q23">
        <v>19</v>
      </c>
      <c r="R23">
        <v>791</v>
      </c>
      <c r="S23">
        <v>4</v>
      </c>
      <c r="T23">
        <v>61.735728954160898</v>
      </c>
      <c r="U23" t="s">
        <v>10</v>
      </c>
      <c r="V23">
        <v>1.8607567631014899E-2</v>
      </c>
      <c r="W23" t="s">
        <v>19</v>
      </c>
      <c r="X23" t="s">
        <v>20</v>
      </c>
      <c r="Y23">
        <v>523.36091472015801</v>
      </c>
      <c r="Z23" s="11">
        <f>Table1_1[[#This Row],[Shipping Costs]]+Table1_1[[#This Row],[Manufacturing Costs]]+Table1_1[[#This Row],[Costs]]</f>
        <v>591.13452744353719</v>
      </c>
      <c r="AA23" s="11">
        <f>Table1_1[[#This Row],[Revenue Generated]]-Table1_1[[#This Row],[COGS]]</f>
        <v>6495.9181689138932</v>
      </c>
    </row>
    <row r="24" spans="1:27" x14ac:dyDescent="0.3">
      <c r="A24" t="s">
        <v>157</v>
      </c>
      <c r="B24" t="s">
        <v>54</v>
      </c>
      <c r="C24" s="7">
        <f>Table1_1[[#This Row],[Number Of Products Sold]]/Table1_1[[#This Row],[Stock Levels]]</f>
        <v>12.450704225352112</v>
      </c>
      <c r="D24">
        <v>27.679780886501899</v>
      </c>
      <c r="E24">
        <v>55</v>
      </c>
      <c r="F24">
        <v>884</v>
      </c>
      <c r="G24" s="10">
        <v>2390.8078665561702</v>
      </c>
      <c r="H24" t="s">
        <v>17</v>
      </c>
      <c r="I24">
        <v>71</v>
      </c>
      <c r="J24">
        <v>1</v>
      </c>
      <c r="K24">
        <v>63</v>
      </c>
      <c r="L24">
        <v>10</v>
      </c>
      <c r="M24" t="s">
        <v>15</v>
      </c>
      <c r="N24">
        <v>9.5676489209230393</v>
      </c>
      <c r="O24" t="s">
        <v>31</v>
      </c>
      <c r="P24" t="s">
        <v>24</v>
      </c>
      <c r="Q24">
        <v>22</v>
      </c>
      <c r="R24">
        <v>780</v>
      </c>
      <c r="S24">
        <v>28</v>
      </c>
      <c r="T24">
        <v>50.120839612977299</v>
      </c>
      <c r="U24" t="s">
        <v>25</v>
      </c>
      <c r="V24">
        <v>2.5912754732111098</v>
      </c>
      <c r="W24" t="s">
        <v>26</v>
      </c>
      <c r="X24" t="s">
        <v>20</v>
      </c>
      <c r="Y24">
        <v>205.57199582694699</v>
      </c>
      <c r="Z24" s="11">
        <f>Table1_1[[#This Row],[Shipping Costs]]+Table1_1[[#This Row],[Manufacturing Costs]]+Table1_1[[#This Row],[Costs]]</f>
        <v>265.26048436084733</v>
      </c>
      <c r="AA24" s="11">
        <f>Table1_1[[#This Row],[Revenue Generated]]-Table1_1[[#This Row],[COGS]]</f>
        <v>2125.5473821953228</v>
      </c>
    </row>
    <row r="25" spans="1:27" x14ac:dyDescent="0.3">
      <c r="A25" t="s">
        <v>160</v>
      </c>
      <c r="B25" t="s">
        <v>55</v>
      </c>
      <c r="C25" s="7">
        <f>Table1_1[[#This Row],[Number Of Products Sold]]/Table1_1[[#This Row],[Stock Levels]]</f>
        <v>4.6547619047619051</v>
      </c>
      <c r="D25">
        <v>4.3243411858641601</v>
      </c>
      <c r="E25">
        <v>30</v>
      </c>
      <c r="F25">
        <v>391</v>
      </c>
      <c r="G25" s="10">
        <v>8858.3675710114803</v>
      </c>
      <c r="H25" t="s">
        <v>17</v>
      </c>
      <c r="I25">
        <v>84</v>
      </c>
      <c r="J25">
        <v>5</v>
      </c>
      <c r="K25">
        <v>29</v>
      </c>
      <c r="L25">
        <v>7</v>
      </c>
      <c r="M25" t="s">
        <v>15</v>
      </c>
      <c r="N25">
        <v>2.92485760114555</v>
      </c>
      <c r="O25" t="s">
        <v>23</v>
      </c>
      <c r="P25" t="s">
        <v>24</v>
      </c>
      <c r="Q25">
        <v>11</v>
      </c>
      <c r="R25">
        <v>568</v>
      </c>
      <c r="S25">
        <v>29</v>
      </c>
      <c r="T25">
        <v>98.6099572427038</v>
      </c>
      <c r="U25" t="s">
        <v>10</v>
      </c>
      <c r="V25">
        <v>1.3422915627227301</v>
      </c>
      <c r="W25" t="s">
        <v>26</v>
      </c>
      <c r="X25" t="s">
        <v>27</v>
      </c>
      <c r="Y25">
        <v>196.329446112412</v>
      </c>
      <c r="Z25" s="11">
        <f>Table1_1[[#This Row],[Shipping Costs]]+Table1_1[[#This Row],[Manufacturing Costs]]+Table1_1[[#This Row],[Costs]]</f>
        <v>297.86426095626132</v>
      </c>
      <c r="AA25" s="11">
        <f>Table1_1[[#This Row],[Revenue Generated]]-Table1_1[[#This Row],[COGS]]</f>
        <v>8560.5033100552191</v>
      </c>
    </row>
    <row r="26" spans="1:27" x14ac:dyDescent="0.3">
      <c r="A26" t="s">
        <v>157</v>
      </c>
      <c r="B26" t="s">
        <v>56</v>
      </c>
      <c r="C26" s="7">
        <f>Table1_1[[#This Row],[Number Of Products Sold]]/Table1_1[[#This Row],[Stock Levels]]</f>
        <v>52.25</v>
      </c>
      <c r="D26">
        <v>4.1563083593111001</v>
      </c>
      <c r="E26">
        <v>32</v>
      </c>
      <c r="F26">
        <v>209</v>
      </c>
      <c r="G26" s="10">
        <v>9049.0778609398894</v>
      </c>
      <c r="H26" t="s">
        <v>34</v>
      </c>
      <c r="I26">
        <v>4</v>
      </c>
      <c r="J26">
        <v>26</v>
      </c>
      <c r="K26">
        <v>2</v>
      </c>
      <c r="L26">
        <v>8</v>
      </c>
      <c r="M26" t="s">
        <v>22</v>
      </c>
      <c r="N26">
        <v>9.7412916892843597</v>
      </c>
      <c r="O26" t="s">
        <v>39</v>
      </c>
      <c r="P26" t="s">
        <v>32</v>
      </c>
      <c r="Q26">
        <v>28</v>
      </c>
      <c r="R26">
        <v>447</v>
      </c>
      <c r="S26">
        <v>3</v>
      </c>
      <c r="T26">
        <v>40.382359702924802</v>
      </c>
      <c r="U26" t="s">
        <v>10</v>
      </c>
      <c r="V26">
        <v>3.69131029262872</v>
      </c>
      <c r="W26" t="s">
        <v>19</v>
      </c>
      <c r="X26" t="s">
        <v>27</v>
      </c>
      <c r="Y26">
        <v>758.72477260293795</v>
      </c>
      <c r="Z26" s="11">
        <f>Table1_1[[#This Row],[Shipping Costs]]+Table1_1[[#This Row],[Manufacturing Costs]]+Table1_1[[#This Row],[Costs]]</f>
        <v>808.84842399514707</v>
      </c>
      <c r="AA26" s="11">
        <f>Table1_1[[#This Row],[Revenue Generated]]-Table1_1[[#This Row],[COGS]]</f>
        <v>8240.2294369447427</v>
      </c>
    </row>
    <row r="27" spans="1:27" x14ac:dyDescent="0.3">
      <c r="A27" t="s">
        <v>157</v>
      </c>
      <c r="B27" t="s">
        <v>57</v>
      </c>
      <c r="C27" s="7">
        <f>Table1_1[[#This Row],[Number Of Products Sold]]/Table1_1[[#This Row],[Stock Levels]]</f>
        <v>1.7317073170731707</v>
      </c>
      <c r="D27">
        <v>39.629343985092603</v>
      </c>
      <c r="E27">
        <v>73</v>
      </c>
      <c r="F27">
        <v>142</v>
      </c>
      <c r="G27" s="10">
        <v>2174.7770543506499</v>
      </c>
      <c r="H27" t="s">
        <v>34</v>
      </c>
      <c r="I27">
        <v>82</v>
      </c>
      <c r="J27">
        <v>11</v>
      </c>
      <c r="K27">
        <v>52</v>
      </c>
      <c r="L27">
        <v>3</v>
      </c>
      <c r="M27" t="s">
        <v>22</v>
      </c>
      <c r="N27">
        <v>2.2310736812817198</v>
      </c>
      <c r="O27" t="s">
        <v>31</v>
      </c>
      <c r="P27" t="s">
        <v>24</v>
      </c>
      <c r="Q27">
        <v>19</v>
      </c>
      <c r="R27">
        <v>934</v>
      </c>
      <c r="S27">
        <v>23</v>
      </c>
      <c r="T27">
        <v>78.280383118415301</v>
      </c>
      <c r="U27" t="s">
        <v>10</v>
      </c>
      <c r="V27">
        <v>3.79723121711418</v>
      </c>
      <c r="W27" t="s">
        <v>11</v>
      </c>
      <c r="X27" t="s">
        <v>12</v>
      </c>
      <c r="Y27">
        <v>458.53594573920901</v>
      </c>
      <c r="Z27" s="11">
        <f>Table1_1[[#This Row],[Shipping Costs]]+Table1_1[[#This Row],[Manufacturing Costs]]+Table1_1[[#This Row],[Costs]]</f>
        <v>539.047402538906</v>
      </c>
      <c r="AA27" s="11">
        <f>Table1_1[[#This Row],[Revenue Generated]]-Table1_1[[#This Row],[COGS]]</f>
        <v>1635.7296518117439</v>
      </c>
    </row>
    <row r="28" spans="1:27" x14ac:dyDescent="0.3">
      <c r="A28" t="s">
        <v>157</v>
      </c>
      <c r="B28" t="s">
        <v>58</v>
      </c>
      <c r="C28" s="7">
        <f>Table1_1[[#This Row],[Number Of Products Sold]]/Table1_1[[#This Row],[Stock Levels]]</f>
        <v>5.9830508474576272</v>
      </c>
      <c r="D28">
        <v>97.446946617892806</v>
      </c>
      <c r="E28">
        <v>9</v>
      </c>
      <c r="F28">
        <v>353</v>
      </c>
      <c r="G28" s="10">
        <v>3716.49332589403</v>
      </c>
      <c r="H28" t="s">
        <v>34</v>
      </c>
      <c r="I28">
        <v>59</v>
      </c>
      <c r="J28">
        <v>16</v>
      </c>
      <c r="K28">
        <v>48</v>
      </c>
      <c r="L28">
        <v>4</v>
      </c>
      <c r="M28" t="s">
        <v>7</v>
      </c>
      <c r="N28">
        <v>6.5075486210785503</v>
      </c>
      <c r="O28" t="s">
        <v>39</v>
      </c>
      <c r="P28" t="s">
        <v>32</v>
      </c>
      <c r="Q28">
        <v>26</v>
      </c>
      <c r="R28">
        <v>171</v>
      </c>
      <c r="S28">
        <v>4</v>
      </c>
      <c r="T28">
        <v>15.972229757181699</v>
      </c>
      <c r="U28" t="s">
        <v>42</v>
      </c>
      <c r="V28">
        <v>2.1193197367249201</v>
      </c>
      <c r="W28" t="s">
        <v>26</v>
      </c>
      <c r="X28" t="s">
        <v>27</v>
      </c>
      <c r="Y28">
        <v>617.86691645837698</v>
      </c>
      <c r="Z28" s="11">
        <f>Table1_1[[#This Row],[Shipping Costs]]+Table1_1[[#This Row],[Manufacturing Costs]]+Table1_1[[#This Row],[Costs]]</f>
        <v>640.3466948366372</v>
      </c>
      <c r="AA28" s="11">
        <f>Table1_1[[#This Row],[Revenue Generated]]-Table1_1[[#This Row],[COGS]]</f>
        <v>3076.1466310573928</v>
      </c>
    </row>
    <row r="29" spans="1:27" x14ac:dyDescent="0.3">
      <c r="A29" t="s">
        <v>160</v>
      </c>
      <c r="B29" t="s">
        <v>59</v>
      </c>
      <c r="C29" s="7">
        <f>Table1_1[[#This Row],[Number Of Products Sold]]/Table1_1[[#This Row],[Stock Levels]]</f>
        <v>7.4893617021276597</v>
      </c>
      <c r="D29">
        <v>92.557360812401996</v>
      </c>
      <c r="E29">
        <v>42</v>
      </c>
      <c r="F29">
        <v>352</v>
      </c>
      <c r="G29" s="10">
        <v>2686.4572235759802</v>
      </c>
      <c r="H29" t="s">
        <v>17</v>
      </c>
      <c r="I29">
        <v>47</v>
      </c>
      <c r="J29">
        <v>9</v>
      </c>
      <c r="K29">
        <v>62</v>
      </c>
      <c r="L29">
        <v>8</v>
      </c>
      <c r="M29" t="s">
        <v>22</v>
      </c>
      <c r="N29">
        <v>7.4067509529980704</v>
      </c>
      <c r="O29" t="s">
        <v>23</v>
      </c>
      <c r="P29" t="s">
        <v>9</v>
      </c>
      <c r="Q29">
        <v>25</v>
      </c>
      <c r="R29">
        <v>291</v>
      </c>
      <c r="S29">
        <v>4</v>
      </c>
      <c r="T29">
        <v>10.5282450700421</v>
      </c>
      <c r="U29" t="s">
        <v>25</v>
      </c>
      <c r="V29">
        <v>2.8646678378833701</v>
      </c>
      <c r="W29" t="s">
        <v>35</v>
      </c>
      <c r="X29" t="s">
        <v>12</v>
      </c>
      <c r="Y29">
        <v>762.45918215568304</v>
      </c>
      <c r="Z29" s="11">
        <f>Table1_1[[#This Row],[Shipping Costs]]+Table1_1[[#This Row],[Manufacturing Costs]]+Table1_1[[#This Row],[Costs]]</f>
        <v>780.39417817872322</v>
      </c>
      <c r="AA29" s="11">
        <f>Table1_1[[#This Row],[Revenue Generated]]-Table1_1[[#This Row],[COGS]]</f>
        <v>1906.0630453972569</v>
      </c>
    </row>
    <row r="30" spans="1:27" x14ac:dyDescent="0.3">
      <c r="A30" t="s">
        <v>160</v>
      </c>
      <c r="B30" t="s">
        <v>60</v>
      </c>
      <c r="C30" s="7">
        <f>Table1_1[[#This Row],[Number Of Products Sold]]/Table1_1[[#This Row],[Stock Levels]]</f>
        <v>8.2083333333333339</v>
      </c>
      <c r="D30">
        <v>2.3972747055971402</v>
      </c>
      <c r="E30">
        <v>12</v>
      </c>
      <c r="F30">
        <v>394</v>
      </c>
      <c r="G30" s="10">
        <v>6117.3246150839896</v>
      </c>
      <c r="H30" t="s">
        <v>14</v>
      </c>
      <c r="I30">
        <v>48</v>
      </c>
      <c r="J30">
        <v>15</v>
      </c>
      <c r="K30">
        <v>24</v>
      </c>
      <c r="L30">
        <v>4</v>
      </c>
      <c r="M30" t="s">
        <v>7</v>
      </c>
      <c r="N30">
        <v>9.8981405080692202</v>
      </c>
      <c r="O30" t="s">
        <v>18</v>
      </c>
      <c r="P30" t="s">
        <v>9</v>
      </c>
      <c r="Q30">
        <v>13</v>
      </c>
      <c r="R30">
        <v>171</v>
      </c>
      <c r="S30">
        <v>7</v>
      </c>
      <c r="T30">
        <v>59.429381810691503</v>
      </c>
      <c r="U30" t="s">
        <v>25</v>
      </c>
      <c r="V30">
        <v>0.81575707929567198</v>
      </c>
      <c r="W30" t="s">
        <v>19</v>
      </c>
      <c r="X30" t="s">
        <v>27</v>
      </c>
      <c r="Y30">
        <v>123.437027511827</v>
      </c>
      <c r="Z30" s="11">
        <f>Table1_1[[#This Row],[Shipping Costs]]+Table1_1[[#This Row],[Manufacturing Costs]]+Table1_1[[#This Row],[Costs]]</f>
        <v>192.76454983058773</v>
      </c>
      <c r="AA30" s="11">
        <f>Table1_1[[#This Row],[Revenue Generated]]-Table1_1[[#This Row],[COGS]]</f>
        <v>5924.5600652534022</v>
      </c>
    </row>
    <row r="31" spans="1:27" x14ac:dyDescent="0.3">
      <c r="A31" t="s">
        <v>160</v>
      </c>
      <c r="B31" t="s">
        <v>61</v>
      </c>
      <c r="C31" s="7">
        <f>Table1_1[[#This Row],[Number Of Products Sold]]/Table1_1[[#This Row],[Stock Levels]]</f>
        <v>5.6222222222222218</v>
      </c>
      <c r="D31">
        <v>63.447559185207297</v>
      </c>
      <c r="E31">
        <v>3</v>
      </c>
      <c r="F31">
        <v>253</v>
      </c>
      <c r="G31" s="10">
        <v>8318.9031946171708</v>
      </c>
      <c r="H31" t="s">
        <v>14</v>
      </c>
      <c r="I31">
        <v>45</v>
      </c>
      <c r="J31">
        <v>5</v>
      </c>
      <c r="K31">
        <v>67</v>
      </c>
      <c r="L31">
        <v>7</v>
      </c>
      <c r="M31" t="s">
        <v>7</v>
      </c>
      <c r="N31">
        <v>8.1009731453970293</v>
      </c>
      <c r="O31" t="s">
        <v>18</v>
      </c>
      <c r="P31" t="s">
        <v>24</v>
      </c>
      <c r="Q31">
        <v>16</v>
      </c>
      <c r="R31">
        <v>329</v>
      </c>
      <c r="S31">
        <v>7</v>
      </c>
      <c r="T31">
        <v>39.292875586065698</v>
      </c>
      <c r="U31" t="s">
        <v>42</v>
      </c>
      <c r="V31">
        <v>3.8780989365884802</v>
      </c>
      <c r="W31" t="s">
        <v>11</v>
      </c>
      <c r="X31" t="s">
        <v>12</v>
      </c>
      <c r="Y31">
        <v>764.93537594070801</v>
      </c>
      <c r="Z31" s="11">
        <f>Table1_1[[#This Row],[Shipping Costs]]+Table1_1[[#This Row],[Manufacturing Costs]]+Table1_1[[#This Row],[Costs]]</f>
        <v>812.32922467217077</v>
      </c>
      <c r="AA31" s="11">
        <f>Table1_1[[#This Row],[Revenue Generated]]-Table1_1[[#This Row],[COGS]]</f>
        <v>7506.5739699450005</v>
      </c>
    </row>
    <row r="32" spans="1:27" x14ac:dyDescent="0.3">
      <c r="A32" t="s">
        <v>157</v>
      </c>
      <c r="B32" t="s">
        <v>62</v>
      </c>
      <c r="C32" s="7">
        <f>Table1_1[[#This Row],[Number Of Products Sold]]/Table1_1[[#This Row],[Stock Levels]]</f>
        <v>5.45</v>
      </c>
      <c r="D32">
        <v>8.0228592105263896</v>
      </c>
      <c r="E32">
        <v>10</v>
      </c>
      <c r="F32">
        <v>327</v>
      </c>
      <c r="G32" s="10">
        <v>2766.3423668660798</v>
      </c>
      <c r="H32" t="s">
        <v>34</v>
      </c>
      <c r="I32">
        <v>60</v>
      </c>
      <c r="J32">
        <v>26</v>
      </c>
      <c r="K32">
        <v>35</v>
      </c>
      <c r="L32">
        <v>7</v>
      </c>
      <c r="M32" t="s">
        <v>7</v>
      </c>
      <c r="N32">
        <v>8.9545283153180097</v>
      </c>
      <c r="O32" t="s">
        <v>31</v>
      </c>
      <c r="P32" t="s">
        <v>24</v>
      </c>
      <c r="Q32">
        <v>27</v>
      </c>
      <c r="R32">
        <v>806</v>
      </c>
      <c r="S32">
        <v>30</v>
      </c>
      <c r="T32">
        <v>51.634893400109299</v>
      </c>
      <c r="U32" t="s">
        <v>10</v>
      </c>
      <c r="V32">
        <v>0.96539470535239302</v>
      </c>
      <c r="W32" t="s">
        <v>11</v>
      </c>
      <c r="X32" t="s">
        <v>20</v>
      </c>
      <c r="Y32">
        <v>880.08098824716103</v>
      </c>
      <c r="Z32" s="11">
        <f>Table1_1[[#This Row],[Shipping Costs]]+Table1_1[[#This Row],[Manufacturing Costs]]+Table1_1[[#This Row],[Costs]]</f>
        <v>940.67040996258834</v>
      </c>
      <c r="AA32" s="11">
        <f>Table1_1[[#This Row],[Revenue Generated]]-Table1_1[[#This Row],[COGS]]</f>
        <v>1825.6719569034915</v>
      </c>
    </row>
    <row r="33" spans="1:27" x14ac:dyDescent="0.3">
      <c r="A33" t="s">
        <v>159</v>
      </c>
      <c r="B33" t="s">
        <v>63</v>
      </c>
      <c r="C33" s="7">
        <f>Table1_1[[#This Row],[Number Of Products Sold]]/Table1_1[[#This Row],[Stock Levels]]</f>
        <v>28</v>
      </c>
      <c r="D33">
        <v>50.847393051718697</v>
      </c>
      <c r="E33">
        <v>28</v>
      </c>
      <c r="F33">
        <v>168</v>
      </c>
      <c r="G33" s="10">
        <v>9655.1351027193905</v>
      </c>
      <c r="H33" t="s">
        <v>34</v>
      </c>
      <c r="I33">
        <v>6</v>
      </c>
      <c r="J33">
        <v>17</v>
      </c>
      <c r="K33">
        <v>44</v>
      </c>
      <c r="L33">
        <v>4</v>
      </c>
      <c r="M33" t="s">
        <v>7</v>
      </c>
      <c r="N33">
        <v>2.6796609649813998</v>
      </c>
      <c r="O33" t="s">
        <v>8</v>
      </c>
      <c r="P33" t="s">
        <v>40</v>
      </c>
      <c r="Q33">
        <v>24</v>
      </c>
      <c r="R33">
        <v>461</v>
      </c>
      <c r="S33">
        <v>8</v>
      </c>
      <c r="T33">
        <v>60.251145661598002</v>
      </c>
      <c r="U33" t="s">
        <v>10</v>
      </c>
      <c r="V33">
        <v>2.9890000066550702</v>
      </c>
      <c r="W33" t="s">
        <v>26</v>
      </c>
      <c r="X33" t="s">
        <v>20</v>
      </c>
      <c r="Y33">
        <v>609.379206618426</v>
      </c>
      <c r="Z33" s="11">
        <f>Table1_1[[#This Row],[Shipping Costs]]+Table1_1[[#This Row],[Manufacturing Costs]]+Table1_1[[#This Row],[Costs]]</f>
        <v>672.31001324500539</v>
      </c>
      <c r="AA33" s="11">
        <f>Table1_1[[#This Row],[Revenue Generated]]-Table1_1[[#This Row],[COGS]]</f>
        <v>8982.8250894743851</v>
      </c>
    </row>
    <row r="34" spans="1:27" x14ac:dyDescent="0.3">
      <c r="A34" t="s">
        <v>159</v>
      </c>
      <c r="B34" t="s">
        <v>64</v>
      </c>
      <c r="C34" s="7">
        <f>Table1_1[[#This Row],[Number Of Products Sold]]/Table1_1[[#This Row],[Stock Levels]]</f>
        <v>8.7752808988764048</v>
      </c>
      <c r="D34">
        <v>79.209936015656695</v>
      </c>
      <c r="E34">
        <v>43</v>
      </c>
      <c r="F34">
        <v>781</v>
      </c>
      <c r="G34" s="10">
        <v>9571.5504873278096</v>
      </c>
      <c r="H34" t="s">
        <v>17</v>
      </c>
      <c r="I34">
        <v>89</v>
      </c>
      <c r="J34">
        <v>13</v>
      </c>
      <c r="K34">
        <v>64</v>
      </c>
      <c r="L34">
        <v>4</v>
      </c>
      <c r="M34" t="s">
        <v>22</v>
      </c>
      <c r="N34">
        <v>6.5991049012385803</v>
      </c>
      <c r="O34" t="s">
        <v>8</v>
      </c>
      <c r="P34" t="s">
        <v>24</v>
      </c>
      <c r="Q34">
        <v>30</v>
      </c>
      <c r="R34">
        <v>737</v>
      </c>
      <c r="S34">
        <v>7</v>
      </c>
      <c r="T34">
        <v>29.6924671537497</v>
      </c>
      <c r="U34" t="s">
        <v>42</v>
      </c>
      <c r="V34">
        <v>1.94603611938611</v>
      </c>
      <c r="W34" t="s">
        <v>11</v>
      </c>
      <c r="X34" t="s">
        <v>27</v>
      </c>
      <c r="Y34">
        <v>761.17390951487698</v>
      </c>
      <c r="Z34" s="11">
        <f>Table1_1[[#This Row],[Shipping Costs]]+Table1_1[[#This Row],[Manufacturing Costs]]+Table1_1[[#This Row],[Costs]]</f>
        <v>797.46548156986523</v>
      </c>
      <c r="AA34" s="11">
        <f>Table1_1[[#This Row],[Revenue Generated]]-Table1_1[[#This Row],[COGS]]</f>
        <v>8774.0850057579446</v>
      </c>
    </row>
    <row r="35" spans="1:27" x14ac:dyDescent="0.3">
      <c r="A35" t="s">
        <v>160</v>
      </c>
      <c r="B35" t="s">
        <v>65</v>
      </c>
      <c r="C35" s="7">
        <f>Table1_1[[#This Row],[Number Of Products Sold]]/Table1_1[[#This Row],[Stock Levels]]</f>
        <v>154</v>
      </c>
      <c r="D35">
        <v>64.795435000155607</v>
      </c>
      <c r="E35">
        <v>63</v>
      </c>
      <c r="F35">
        <v>616</v>
      </c>
      <c r="G35" s="10">
        <v>5149.9983504080301</v>
      </c>
      <c r="H35" t="s">
        <v>158</v>
      </c>
      <c r="I35">
        <v>4</v>
      </c>
      <c r="J35">
        <v>17</v>
      </c>
      <c r="K35">
        <v>95</v>
      </c>
      <c r="L35">
        <v>9</v>
      </c>
      <c r="M35" t="s">
        <v>22</v>
      </c>
      <c r="N35">
        <v>4.85827050343664</v>
      </c>
      <c r="O35" t="s">
        <v>23</v>
      </c>
      <c r="P35" t="s">
        <v>40</v>
      </c>
      <c r="Q35">
        <v>1</v>
      </c>
      <c r="R35">
        <v>251</v>
      </c>
      <c r="S35">
        <v>23</v>
      </c>
      <c r="T35">
        <v>23.853427512896101</v>
      </c>
      <c r="U35" t="s">
        <v>25</v>
      </c>
      <c r="V35">
        <v>3.54104601225092</v>
      </c>
      <c r="W35" t="s">
        <v>35</v>
      </c>
      <c r="X35" t="s">
        <v>27</v>
      </c>
      <c r="Y35">
        <v>371.25529551987103</v>
      </c>
      <c r="Z35" s="11">
        <f>Table1_1[[#This Row],[Shipping Costs]]+Table1_1[[#This Row],[Manufacturing Costs]]+Table1_1[[#This Row],[Costs]]</f>
        <v>399.96699353620374</v>
      </c>
      <c r="AA35" s="11">
        <f>Table1_1[[#This Row],[Revenue Generated]]-Table1_1[[#This Row],[COGS]]</f>
        <v>4750.0313568718266</v>
      </c>
    </row>
    <row r="36" spans="1:27" x14ac:dyDescent="0.3">
      <c r="A36" t="s">
        <v>159</v>
      </c>
      <c r="B36" t="s">
        <v>66</v>
      </c>
      <c r="C36" s="7">
        <f>Table1_1[[#This Row],[Number Of Products Sold]]/Table1_1[[#This Row],[Stock Levels]]</f>
        <v>602</v>
      </c>
      <c r="D36">
        <v>37.467592329842397</v>
      </c>
      <c r="E36">
        <v>96</v>
      </c>
      <c r="F36">
        <v>602</v>
      </c>
      <c r="G36" s="10">
        <v>9061.7108955077201</v>
      </c>
      <c r="H36" t="s">
        <v>17</v>
      </c>
      <c r="I36">
        <v>1</v>
      </c>
      <c r="J36">
        <v>26</v>
      </c>
      <c r="K36">
        <v>21</v>
      </c>
      <c r="L36">
        <v>7</v>
      </c>
      <c r="M36" t="s">
        <v>15</v>
      </c>
      <c r="N36">
        <v>1.0194875708221101</v>
      </c>
      <c r="O36" t="s">
        <v>18</v>
      </c>
      <c r="P36" t="s">
        <v>40</v>
      </c>
      <c r="Q36">
        <v>4</v>
      </c>
      <c r="R36">
        <v>452</v>
      </c>
      <c r="S36">
        <v>10</v>
      </c>
      <c r="T36">
        <v>10.754272815029299</v>
      </c>
      <c r="U36" t="s">
        <v>42</v>
      </c>
      <c r="V36">
        <v>0.64660455937205397</v>
      </c>
      <c r="W36" t="s">
        <v>11</v>
      </c>
      <c r="X36" t="s">
        <v>12</v>
      </c>
      <c r="Y36">
        <v>510.35800043352299</v>
      </c>
      <c r="Z36" s="11">
        <f>Table1_1[[#This Row],[Shipping Costs]]+Table1_1[[#This Row],[Manufacturing Costs]]+Table1_1[[#This Row],[Costs]]</f>
        <v>522.13176081937445</v>
      </c>
      <c r="AA36" s="11">
        <f>Table1_1[[#This Row],[Revenue Generated]]-Table1_1[[#This Row],[COGS]]</f>
        <v>8539.5791346883452</v>
      </c>
    </row>
    <row r="37" spans="1:27" x14ac:dyDescent="0.3">
      <c r="A37" t="s">
        <v>160</v>
      </c>
      <c r="B37" t="s">
        <v>67</v>
      </c>
      <c r="C37" s="7">
        <f>Table1_1[[#This Row],[Number Of Products Sold]]/Table1_1[[#This Row],[Stock Levels]]</f>
        <v>10.69047619047619</v>
      </c>
      <c r="D37">
        <v>84.957786816350406</v>
      </c>
      <c r="E37">
        <v>11</v>
      </c>
      <c r="F37">
        <v>449</v>
      </c>
      <c r="G37" s="10">
        <v>6541.3293448024597</v>
      </c>
      <c r="H37" t="s">
        <v>14</v>
      </c>
      <c r="I37">
        <v>42</v>
      </c>
      <c r="J37">
        <v>27</v>
      </c>
      <c r="K37">
        <v>85</v>
      </c>
      <c r="L37">
        <v>8</v>
      </c>
      <c r="M37" t="s">
        <v>22</v>
      </c>
      <c r="N37">
        <v>5.2881899903273997</v>
      </c>
      <c r="O37" t="s">
        <v>18</v>
      </c>
      <c r="P37" t="s">
        <v>29</v>
      </c>
      <c r="Q37">
        <v>3</v>
      </c>
      <c r="R37">
        <v>367</v>
      </c>
      <c r="S37">
        <v>2</v>
      </c>
      <c r="T37">
        <v>58.004787044743701</v>
      </c>
      <c r="U37" t="s">
        <v>42</v>
      </c>
      <c r="V37">
        <v>0.54115409806058101</v>
      </c>
      <c r="W37" t="s">
        <v>35</v>
      </c>
      <c r="X37" t="s">
        <v>20</v>
      </c>
      <c r="Y37">
        <v>553.42047123035502</v>
      </c>
      <c r="Z37" s="11">
        <f>Table1_1[[#This Row],[Shipping Costs]]+Table1_1[[#This Row],[Manufacturing Costs]]+Table1_1[[#This Row],[Costs]]</f>
        <v>616.71344826542611</v>
      </c>
      <c r="AA37" s="11">
        <f>Table1_1[[#This Row],[Revenue Generated]]-Table1_1[[#This Row],[COGS]]</f>
        <v>5924.6158965370332</v>
      </c>
    </row>
    <row r="38" spans="1:27" x14ac:dyDescent="0.3">
      <c r="A38" t="s">
        <v>159</v>
      </c>
      <c r="B38" t="s">
        <v>68</v>
      </c>
      <c r="C38" s="7">
        <f>Table1_1[[#This Row],[Number Of Products Sold]]/Table1_1[[#This Row],[Stock Levels]]</f>
        <v>53.5</v>
      </c>
      <c r="D38">
        <v>9.81300257875405</v>
      </c>
      <c r="E38">
        <v>34</v>
      </c>
      <c r="F38">
        <v>963</v>
      </c>
      <c r="G38" s="10">
        <v>7573.4024578487297</v>
      </c>
      <c r="H38" t="s">
        <v>14</v>
      </c>
      <c r="I38">
        <v>18</v>
      </c>
      <c r="J38">
        <v>23</v>
      </c>
      <c r="K38">
        <v>28</v>
      </c>
      <c r="L38">
        <v>3</v>
      </c>
      <c r="M38" t="s">
        <v>7</v>
      </c>
      <c r="N38">
        <v>2.1079512671590801</v>
      </c>
      <c r="O38" t="s">
        <v>39</v>
      </c>
      <c r="P38" t="s">
        <v>29</v>
      </c>
      <c r="Q38">
        <v>26</v>
      </c>
      <c r="R38">
        <v>671</v>
      </c>
      <c r="S38">
        <v>19</v>
      </c>
      <c r="T38">
        <v>45.531364237162101</v>
      </c>
      <c r="U38" t="s">
        <v>25</v>
      </c>
      <c r="V38">
        <v>3.8055333792433501</v>
      </c>
      <c r="W38" t="s">
        <v>19</v>
      </c>
      <c r="X38" t="s">
        <v>20</v>
      </c>
      <c r="Y38">
        <v>403.80897424817999</v>
      </c>
      <c r="Z38" s="11">
        <f>Table1_1[[#This Row],[Shipping Costs]]+Table1_1[[#This Row],[Manufacturing Costs]]+Table1_1[[#This Row],[Costs]]</f>
        <v>451.44828975250118</v>
      </c>
      <c r="AA38" s="11">
        <f>Table1_1[[#This Row],[Revenue Generated]]-Table1_1[[#This Row],[COGS]]</f>
        <v>7121.9541680962284</v>
      </c>
    </row>
    <row r="39" spans="1:27" x14ac:dyDescent="0.3">
      <c r="A39" t="s">
        <v>159</v>
      </c>
      <c r="B39" t="s">
        <v>69</v>
      </c>
      <c r="C39" s="7">
        <f>Table1_1[[#This Row],[Number Of Products Sold]]/Table1_1[[#This Row],[Stock Levels]]</f>
        <v>38.520000000000003</v>
      </c>
      <c r="D39">
        <v>23.3998447526143</v>
      </c>
      <c r="E39">
        <v>5</v>
      </c>
      <c r="F39">
        <v>963</v>
      </c>
      <c r="G39" s="10">
        <v>2438.3399304700201</v>
      </c>
      <c r="H39" t="s">
        <v>14</v>
      </c>
      <c r="I39">
        <v>25</v>
      </c>
      <c r="J39">
        <v>8</v>
      </c>
      <c r="K39">
        <v>21</v>
      </c>
      <c r="L39">
        <v>9</v>
      </c>
      <c r="M39" t="s">
        <v>15</v>
      </c>
      <c r="N39">
        <v>1.53265527359043</v>
      </c>
      <c r="O39" t="s">
        <v>8</v>
      </c>
      <c r="P39" t="s">
        <v>24</v>
      </c>
      <c r="Q39">
        <v>24</v>
      </c>
      <c r="R39">
        <v>867</v>
      </c>
      <c r="S39">
        <v>15</v>
      </c>
      <c r="T39">
        <v>34.343277465075303</v>
      </c>
      <c r="U39" t="s">
        <v>10</v>
      </c>
      <c r="V39">
        <v>2.61028808484811</v>
      </c>
      <c r="W39" t="s">
        <v>35</v>
      </c>
      <c r="X39" t="s">
        <v>27</v>
      </c>
      <c r="Y39">
        <v>183.932968043594</v>
      </c>
      <c r="Z39" s="11">
        <f>Table1_1[[#This Row],[Shipping Costs]]+Table1_1[[#This Row],[Manufacturing Costs]]+Table1_1[[#This Row],[Costs]]</f>
        <v>219.80890078225974</v>
      </c>
      <c r="AA39" s="11">
        <f>Table1_1[[#This Row],[Revenue Generated]]-Table1_1[[#This Row],[COGS]]</f>
        <v>2218.5310296877606</v>
      </c>
    </row>
    <row r="40" spans="1:27" x14ac:dyDescent="0.3">
      <c r="A40" t="s">
        <v>160</v>
      </c>
      <c r="B40" t="s">
        <v>70</v>
      </c>
      <c r="C40" s="7">
        <f>Table1_1[[#This Row],[Number Of Products Sold]]/Table1_1[[#This Row],[Stock Levels]]</f>
        <v>10.217391304347826</v>
      </c>
      <c r="D40">
        <v>52.075930682707799</v>
      </c>
      <c r="E40">
        <v>75</v>
      </c>
      <c r="F40">
        <v>705</v>
      </c>
      <c r="G40" s="10">
        <v>9692.3180402184298</v>
      </c>
      <c r="H40" t="s">
        <v>158</v>
      </c>
      <c r="I40">
        <v>69</v>
      </c>
      <c r="J40">
        <v>1</v>
      </c>
      <c r="K40">
        <v>88</v>
      </c>
      <c r="L40">
        <v>5</v>
      </c>
      <c r="M40" t="s">
        <v>7</v>
      </c>
      <c r="N40">
        <v>9.2359314372492207</v>
      </c>
      <c r="O40" t="s">
        <v>23</v>
      </c>
      <c r="P40" t="s">
        <v>9</v>
      </c>
      <c r="Q40">
        <v>10</v>
      </c>
      <c r="R40">
        <v>841</v>
      </c>
      <c r="S40">
        <v>12</v>
      </c>
      <c r="T40">
        <v>5.9306936455283097</v>
      </c>
      <c r="U40" t="s">
        <v>10</v>
      </c>
      <c r="V40">
        <v>0.613326899164507</v>
      </c>
      <c r="W40" t="s">
        <v>19</v>
      </c>
      <c r="X40" t="s">
        <v>12</v>
      </c>
      <c r="Y40">
        <v>339.67286994860598</v>
      </c>
      <c r="Z40" s="11">
        <f>Table1_1[[#This Row],[Shipping Costs]]+Table1_1[[#This Row],[Manufacturing Costs]]+Table1_1[[#This Row],[Costs]]</f>
        <v>354.83949503138354</v>
      </c>
      <c r="AA40" s="11">
        <f>Table1_1[[#This Row],[Revenue Generated]]-Table1_1[[#This Row],[COGS]]</f>
        <v>9337.4785451870466</v>
      </c>
    </row>
    <row r="41" spans="1:27" x14ac:dyDescent="0.3">
      <c r="A41" t="s">
        <v>159</v>
      </c>
      <c r="B41" t="s">
        <v>71</v>
      </c>
      <c r="C41" s="7">
        <f>Table1_1[[#This Row],[Number Of Products Sold]]/Table1_1[[#This Row],[Stock Levels]]</f>
        <v>2.2564102564102564</v>
      </c>
      <c r="D41">
        <v>19.127477265823199</v>
      </c>
      <c r="E41">
        <v>26</v>
      </c>
      <c r="F41">
        <v>176</v>
      </c>
      <c r="G41" s="10">
        <v>1912.4656631007599</v>
      </c>
      <c r="H41" t="s">
        <v>14</v>
      </c>
      <c r="I41">
        <v>78</v>
      </c>
      <c r="J41">
        <v>29</v>
      </c>
      <c r="K41">
        <v>34</v>
      </c>
      <c r="L41">
        <v>3</v>
      </c>
      <c r="M41" t="s">
        <v>15</v>
      </c>
      <c r="N41">
        <v>5.5625037788303802</v>
      </c>
      <c r="O41" t="s">
        <v>39</v>
      </c>
      <c r="P41" t="s">
        <v>24</v>
      </c>
      <c r="Q41">
        <v>30</v>
      </c>
      <c r="R41">
        <v>791</v>
      </c>
      <c r="S41">
        <v>6</v>
      </c>
      <c r="T41">
        <v>9.0058074287816403</v>
      </c>
      <c r="U41" t="s">
        <v>25</v>
      </c>
      <c r="V41">
        <v>1.4519722039968099</v>
      </c>
      <c r="W41" t="s">
        <v>19</v>
      </c>
      <c r="X41" t="s">
        <v>12</v>
      </c>
      <c r="Y41">
        <v>653.67299455203295</v>
      </c>
      <c r="Z41" s="11">
        <f>Table1_1[[#This Row],[Shipping Costs]]+Table1_1[[#This Row],[Manufacturing Costs]]+Table1_1[[#This Row],[Costs]]</f>
        <v>668.241305759645</v>
      </c>
      <c r="AA41" s="11">
        <f>Table1_1[[#This Row],[Revenue Generated]]-Table1_1[[#This Row],[COGS]]</f>
        <v>1244.2243573411149</v>
      </c>
    </row>
    <row r="42" spans="1:27" x14ac:dyDescent="0.3">
      <c r="A42" t="s">
        <v>159</v>
      </c>
      <c r="B42" t="s">
        <v>72</v>
      </c>
      <c r="C42" s="7">
        <f>Table1_1[[#This Row],[Number Of Products Sold]]/Table1_1[[#This Row],[Stock Levels]]</f>
        <v>10.366666666666667</v>
      </c>
      <c r="D42">
        <v>80.541424170940303</v>
      </c>
      <c r="E42">
        <v>97</v>
      </c>
      <c r="F42">
        <v>933</v>
      </c>
      <c r="G42" s="10">
        <v>5724.9593504562599</v>
      </c>
      <c r="H42" t="s">
        <v>14</v>
      </c>
      <c r="I42">
        <v>90</v>
      </c>
      <c r="J42">
        <v>20</v>
      </c>
      <c r="K42">
        <v>39</v>
      </c>
      <c r="L42">
        <v>8</v>
      </c>
      <c r="M42" t="s">
        <v>22</v>
      </c>
      <c r="N42">
        <v>7.2295951397364702</v>
      </c>
      <c r="O42" t="s">
        <v>18</v>
      </c>
      <c r="P42" t="s">
        <v>24</v>
      </c>
      <c r="Q42">
        <v>18</v>
      </c>
      <c r="R42">
        <v>793</v>
      </c>
      <c r="S42">
        <v>1</v>
      </c>
      <c r="T42">
        <v>88.179407104217404</v>
      </c>
      <c r="U42" t="s">
        <v>10</v>
      </c>
      <c r="V42">
        <v>4.2132694305865597</v>
      </c>
      <c r="W42" t="s">
        <v>11</v>
      </c>
      <c r="X42" t="s">
        <v>27</v>
      </c>
      <c r="Y42">
        <v>529.80872398069096</v>
      </c>
      <c r="Z42" s="11">
        <f>Table1_1[[#This Row],[Shipping Costs]]+Table1_1[[#This Row],[Manufacturing Costs]]+Table1_1[[#This Row],[Costs]]</f>
        <v>625.21772622464482</v>
      </c>
      <c r="AA42" s="11">
        <f>Table1_1[[#This Row],[Revenue Generated]]-Table1_1[[#This Row],[COGS]]</f>
        <v>5099.7416242316149</v>
      </c>
    </row>
    <row r="43" spans="1:27" x14ac:dyDescent="0.3">
      <c r="A43" t="s">
        <v>159</v>
      </c>
      <c r="B43" t="s">
        <v>73</v>
      </c>
      <c r="C43" s="7">
        <f>Table1_1[[#This Row],[Number Of Products Sold]]/Table1_1[[#This Row],[Stock Levels]]</f>
        <v>8.6875</v>
      </c>
      <c r="D43">
        <v>99.113291615317095</v>
      </c>
      <c r="E43">
        <v>35</v>
      </c>
      <c r="F43">
        <v>556</v>
      </c>
      <c r="G43" s="10">
        <v>5521.2052590109697</v>
      </c>
      <c r="H43" t="s">
        <v>14</v>
      </c>
      <c r="I43">
        <v>64</v>
      </c>
      <c r="J43">
        <v>19</v>
      </c>
      <c r="K43">
        <v>38</v>
      </c>
      <c r="L43">
        <v>8</v>
      </c>
      <c r="M43" t="s">
        <v>7</v>
      </c>
      <c r="N43">
        <v>5.7732637437666501</v>
      </c>
      <c r="O43" t="s">
        <v>31</v>
      </c>
      <c r="P43" t="s">
        <v>40</v>
      </c>
      <c r="Q43">
        <v>18</v>
      </c>
      <c r="R43">
        <v>892</v>
      </c>
      <c r="S43">
        <v>7</v>
      </c>
      <c r="T43">
        <v>95.332064548772493</v>
      </c>
      <c r="U43" t="s">
        <v>25</v>
      </c>
      <c r="V43">
        <v>4.5302262398259602E-2</v>
      </c>
      <c r="W43" t="s">
        <v>35</v>
      </c>
      <c r="X43" t="s">
        <v>27</v>
      </c>
      <c r="Y43">
        <v>275.52437113130901</v>
      </c>
      <c r="Z43" s="11">
        <f>Table1_1[[#This Row],[Shipping Costs]]+Table1_1[[#This Row],[Manufacturing Costs]]+Table1_1[[#This Row],[Costs]]</f>
        <v>376.62969942384814</v>
      </c>
      <c r="AA43" s="11">
        <f>Table1_1[[#This Row],[Revenue Generated]]-Table1_1[[#This Row],[COGS]]</f>
        <v>5144.5755595871215</v>
      </c>
    </row>
    <row r="44" spans="1:27" x14ac:dyDescent="0.3">
      <c r="A44" t="s">
        <v>159</v>
      </c>
      <c r="B44" t="s">
        <v>74</v>
      </c>
      <c r="C44" s="7">
        <f>Table1_1[[#This Row],[Number Of Products Sold]]/Table1_1[[#This Row],[Stock Levels]]</f>
        <v>7.0454545454545459</v>
      </c>
      <c r="D44">
        <v>46.529167614516702</v>
      </c>
      <c r="E44">
        <v>98</v>
      </c>
      <c r="F44">
        <v>155</v>
      </c>
      <c r="G44" s="10">
        <v>1839.60942585676</v>
      </c>
      <c r="H44" t="s">
        <v>14</v>
      </c>
      <c r="I44">
        <v>22</v>
      </c>
      <c r="J44">
        <v>27</v>
      </c>
      <c r="K44">
        <v>57</v>
      </c>
      <c r="L44">
        <v>4</v>
      </c>
      <c r="M44" t="s">
        <v>22</v>
      </c>
      <c r="N44">
        <v>7.5262483268515004</v>
      </c>
      <c r="O44" t="s">
        <v>23</v>
      </c>
      <c r="P44" t="s">
        <v>32</v>
      </c>
      <c r="Q44">
        <v>26</v>
      </c>
      <c r="R44">
        <v>179</v>
      </c>
      <c r="S44">
        <v>7</v>
      </c>
      <c r="T44">
        <v>96.422820639571796</v>
      </c>
      <c r="U44" t="s">
        <v>25</v>
      </c>
      <c r="V44">
        <v>4.9392552886209398</v>
      </c>
      <c r="W44" t="s">
        <v>11</v>
      </c>
      <c r="X44" t="s">
        <v>27</v>
      </c>
      <c r="Y44">
        <v>635.65712050199102</v>
      </c>
      <c r="Z44" s="11">
        <f>Table1_1[[#This Row],[Shipping Costs]]+Table1_1[[#This Row],[Manufacturing Costs]]+Table1_1[[#This Row],[Costs]]</f>
        <v>739.6061894684143</v>
      </c>
      <c r="AA44" s="11">
        <f>Table1_1[[#This Row],[Revenue Generated]]-Table1_1[[#This Row],[COGS]]</f>
        <v>1100.0032363883456</v>
      </c>
    </row>
    <row r="45" spans="1:27" x14ac:dyDescent="0.3">
      <c r="A45" t="s">
        <v>157</v>
      </c>
      <c r="B45" t="s">
        <v>75</v>
      </c>
      <c r="C45" s="7">
        <f>Table1_1[[#This Row],[Number Of Products Sold]]/Table1_1[[#This Row],[Stock Levels]]</f>
        <v>16.611111111111111</v>
      </c>
      <c r="D45">
        <v>11.7432717763092</v>
      </c>
      <c r="E45">
        <v>6</v>
      </c>
      <c r="F45">
        <v>598</v>
      </c>
      <c r="G45" s="10">
        <v>5737.4255991190203</v>
      </c>
      <c r="H45" t="s">
        <v>17</v>
      </c>
      <c r="I45">
        <v>36</v>
      </c>
      <c r="J45">
        <v>29</v>
      </c>
      <c r="K45">
        <v>85</v>
      </c>
      <c r="L45">
        <v>9</v>
      </c>
      <c r="M45" t="s">
        <v>7</v>
      </c>
      <c r="N45">
        <v>3.6940212683884499</v>
      </c>
      <c r="O45" t="s">
        <v>23</v>
      </c>
      <c r="P45" t="s">
        <v>9</v>
      </c>
      <c r="Q45">
        <v>1</v>
      </c>
      <c r="R45">
        <v>206</v>
      </c>
      <c r="S45">
        <v>23</v>
      </c>
      <c r="T45">
        <v>26.2773659573324</v>
      </c>
      <c r="U45" t="s">
        <v>10</v>
      </c>
      <c r="V45">
        <v>0.37230476798509698</v>
      </c>
      <c r="W45" t="s">
        <v>19</v>
      </c>
      <c r="X45" t="s">
        <v>27</v>
      </c>
      <c r="Y45">
        <v>716.04411975933999</v>
      </c>
      <c r="Z45" s="11">
        <f>Table1_1[[#This Row],[Shipping Costs]]+Table1_1[[#This Row],[Manufacturing Costs]]+Table1_1[[#This Row],[Costs]]</f>
        <v>746.01550698506082</v>
      </c>
      <c r="AA45" s="11">
        <f>Table1_1[[#This Row],[Revenue Generated]]-Table1_1[[#This Row],[COGS]]</f>
        <v>4991.4100921339596</v>
      </c>
    </row>
    <row r="46" spans="1:27" x14ac:dyDescent="0.3">
      <c r="A46" t="s">
        <v>160</v>
      </c>
      <c r="B46" t="s">
        <v>76</v>
      </c>
      <c r="C46" s="7">
        <f>Table1_1[[#This Row],[Number Of Products Sold]]/Table1_1[[#This Row],[Stock Levels]]</f>
        <v>70.692307692307693</v>
      </c>
      <c r="D46">
        <v>51.355790913110297</v>
      </c>
      <c r="E46">
        <v>34</v>
      </c>
      <c r="F46">
        <v>919</v>
      </c>
      <c r="G46" s="10">
        <v>7152.28604943551</v>
      </c>
      <c r="H46" t="s">
        <v>14</v>
      </c>
      <c r="I46">
        <v>13</v>
      </c>
      <c r="J46">
        <v>19</v>
      </c>
      <c r="K46">
        <v>72</v>
      </c>
      <c r="L46">
        <v>6</v>
      </c>
      <c r="M46" t="s">
        <v>22</v>
      </c>
      <c r="N46">
        <v>7.5774496573766896</v>
      </c>
      <c r="O46" t="s">
        <v>39</v>
      </c>
      <c r="P46" t="s">
        <v>29</v>
      </c>
      <c r="Q46">
        <v>7</v>
      </c>
      <c r="R46">
        <v>834</v>
      </c>
      <c r="S46">
        <v>18</v>
      </c>
      <c r="T46">
        <v>22.554106620887701</v>
      </c>
      <c r="U46" t="s">
        <v>25</v>
      </c>
      <c r="V46">
        <v>2.9626263204548802</v>
      </c>
      <c r="W46" t="s">
        <v>26</v>
      </c>
      <c r="X46" t="s">
        <v>27</v>
      </c>
      <c r="Y46">
        <v>610.45326961922694</v>
      </c>
      <c r="Z46" s="11">
        <f>Table1_1[[#This Row],[Shipping Costs]]+Table1_1[[#This Row],[Manufacturing Costs]]+Table1_1[[#This Row],[Costs]]</f>
        <v>640.58482589749133</v>
      </c>
      <c r="AA46" s="11">
        <f>Table1_1[[#This Row],[Revenue Generated]]-Table1_1[[#This Row],[COGS]]</f>
        <v>6511.7012235380189</v>
      </c>
    </row>
    <row r="47" spans="1:27" x14ac:dyDescent="0.3">
      <c r="A47" t="s">
        <v>157</v>
      </c>
      <c r="B47" t="s">
        <v>77</v>
      </c>
      <c r="C47" s="7">
        <f>Table1_1[[#This Row],[Number Of Products Sold]]/Table1_1[[#This Row],[Stock Levels]]</f>
        <v>0.25806451612903225</v>
      </c>
      <c r="D47">
        <v>33.784138033065503</v>
      </c>
      <c r="E47">
        <v>1</v>
      </c>
      <c r="F47">
        <v>24</v>
      </c>
      <c r="G47" s="10">
        <v>5267.9568075105199</v>
      </c>
      <c r="H47" t="s">
        <v>34</v>
      </c>
      <c r="I47">
        <v>93</v>
      </c>
      <c r="J47">
        <v>7</v>
      </c>
      <c r="K47">
        <v>52</v>
      </c>
      <c r="L47">
        <v>6</v>
      </c>
      <c r="M47" t="s">
        <v>7</v>
      </c>
      <c r="N47">
        <v>5.2151550087119096</v>
      </c>
      <c r="O47" t="s">
        <v>39</v>
      </c>
      <c r="P47" t="s">
        <v>40</v>
      </c>
      <c r="Q47">
        <v>25</v>
      </c>
      <c r="R47">
        <v>794</v>
      </c>
      <c r="S47">
        <v>25</v>
      </c>
      <c r="T47">
        <v>66.312544439991598</v>
      </c>
      <c r="U47" t="s">
        <v>42</v>
      </c>
      <c r="V47">
        <v>3.2196046120841002</v>
      </c>
      <c r="W47" t="s">
        <v>26</v>
      </c>
      <c r="X47" t="s">
        <v>27</v>
      </c>
      <c r="Y47">
        <v>495.30569702847299</v>
      </c>
      <c r="Z47" s="11">
        <f>Table1_1[[#This Row],[Shipping Costs]]+Table1_1[[#This Row],[Manufacturing Costs]]+Table1_1[[#This Row],[Costs]]</f>
        <v>566.83339647717651</v>
      </c>
      <c r="AA47" s="11">
        <f>Table1_1[[#This Row],[Revenue Generated]]-Table1_1[[#This Row],[COGS]]</f>
        <v>4701.1234110333435</v>
      </c>
    </row>
    <row r="48" spans="1:27" x14ac:dyDescent="0.3">
      <c r="A48" t="s">
        <v>157</v>
      </c>
      <c r="B48" t="s">
        <v>78</v>
      </c>
      <c r="C48" s="7">
        <f>Table1_1[[#This Row],[Number Of Products Sold]]/Table1_1[[#This Row],[Stock Levels]]</f>
        <v>9.3369565217391308</v>
      </c>
      <c r="D48">
        <v>27.082207199888899</v>
      </c>
      <c r="E48">
        <v>75</v>
      </c>
      <c r="F48">
        <v>859</v>
      </c>
      <c r="G48" s="10">
        <v>2556.7673606335902</v>
      </c>
      <c r="H48" t="s">
        <v>158</v>
      </c>
      <c r="I48">
        <v>92</v>
      </c>
      <c r="J48">
        <v>29</v>
      </c>
      <c r="K48">
        <v>6</v>
      </c>
      <c r="L48">
        <v>8</v>
      </c>
      <c r="M48" t="s">
        <v>7</v>
      </c>
      <c r="N48">
        <v>4.0709558370840799</v>
      </c>
      <c r="O48" t="s">
        <v>8</v>
      </c>
      <c r="P48" t="s">
        <v>40</v>
      </c>
      <c r="Q48">
        <v>18</v>
      </c>
      <c r="R48">
        <v>870</v>
      </c>
      <c r="S48">
        <v>23</v>
      </c>
      <c r="T48">
        <v>77.322353211051606</v>
      </c>
      <c r="U48" t="s">
        <v>10</v>
      </c>
      <c r="V48">
        <v>3.6486105925361998</v>
      </c>
      <c r="W48" t="s">
        <v>11</v>
      </c>
      <c r="X48" t="s">
        <v>12</v>
      </c>
      <c r="Y48">
        <v>380.43593711196399</v>
      </c>
      <c r="Z48" s="11">
        <f>Table1_1[[#This Row],[Shipping Costs]]+Table1_1[[#This Row],[Manufacturing Costs]]+Table1_1[[#This Row],[Costs]]</f>
        <v>461.82924616009967</v>
      </c>
      <c r="AA48" s="11">
        <f>Table1_1[[#This Row],[Revenue Generated]]-Table1_1[[#This Row],[COGS]]</f>
        <v>2094.9381144734907</v>
      </c>
    </row>
    <row r="49" spans="1:27" x14ac:dyDescent="0.3">
      <c r="A49" t="s">
        <v>159</v>
      </c>
      <c r="B49" t="s">
        <v>79</v>
      </c>
      <c r="C49" s="7">
        <f>Table1_1[[#This Row],[Number Of Products Sold]]/Table1_1[[#This Row],[Stock Levels]]</f>
        <v>227.5</v>
      </c>
      <c r="D49">
        <v>95.712135880936003</v>
      </c>
      <c r="E49">
        <v>93</v>
      </c>
      <c r="F49">
        <v>910</v>
      </c>
      <c r="G49" s="10">
        <v>7089.4742499341801</v>
      </c>
      <c r="H49" t="s">
        <v>34</v>
      </c>
      <c r="I49">
        <v>4</v>
      </c>
      <c r="J49">
        <v>15</v>
      </c>
      <c r="K49">
        <v>51</v>
      </c>
      <c r="L49">
        <v>9</v>
      </c>
      <c r="M49" t="s">
        <v>7</v>
      </c>
      <c r="N49">
        <v>8.9787507559499709</v>
      </c>
      <c r="O49" t="s">
        <v>18</v>
      </c>
      <c r="P49" t="s">
        <v>24</v>
      </c>
      <c r="Q49">
        <v>10</v>
      </c>
      <c r="R49">
        <v>964</v>
      </c>
      <c r="S49">
        <v>20</v>
      </c>
      <c r="T49">
        <v>19.7129929112936</v>
      </c>
      <c r="U49" t="s">
        <v>10</v>
      </c>
      <c r="V49">
        <v>0.38057358671321301</v>
      </c>
      <c r="W49" t="s">
        <v>26</v>
      </c>
      <c r="X49" t="s">
        <v>27</v>
      </c>
      <c r="Y49">
        <v>581.60235505058597</v>
      </c>
      <c r="Z49" s="11">
        <f>Table1_1[[#This Row],[Shipping Costs]]+Table1_1[[#This Row],[Manufacturing Costs]]+Table1_1[[#This Row],[Costs]]</f>
        <v>610.29409871782957</v>
      </c>
      <c r="AA49" s="11">
        <f>Table1_1[[#This Row],[Revenue Generated]]-Table1_1[[#This Row],[COGS]]</f>
        <v>6479.1801512163502</v>
      </c>
    </row>
    <row r="50" spans="1:27" x14ac:dyDescent="0.3">
      <c r="A50" t="s">
        <v>157</v>
      </c>
      <c r="B50" t="s">
        <v>80</v>
      </c>
      <c r="C50" s="7">
        <f>Table1_1[[#This Row],[Number Of Products Sold]]/Table1_1[[#This Row],[Stock Levels]]</f>
        <v>0.96666666666666667</v>
      </c>
      <c r="D50">
        <v>76.035544426891704</v>
      </c>
      <c r="E50">
        <v>28</v>
      </c>
      <c r="F50">
        <v>29</v>
      </c>
      <c r="G50" s="10">
        <v>7397.0710045871801</v>
      </c>
      <c r="H50" t="s">
        <v>158</v>
      </c>
      <c r="I50">
        <v>30</v>
      </c>
      <c r="J50">
        <v>16</v>
      </c>
      <c r="K50">
        <v>9</v>
      </c>
      <c r="L50">
        <v>3</v>
      </c>
      <c r="M50" t="s">
        <v>22</v>
      </c>
      <c r="N50">
        <v>7.0958331565551296</v>
      </c>
      <c r="O50" t="s">
        <v>39</v>
      </c>
      <c r="P50" t="s">
        <v>9</v>
      </c>
      <c r="Q50">
        <v>9</v>
      </c>
      <c r="R50">
        <v>109</v>
      </c>
      <c r="S50">
        <v>18</v>
      </c>
      <c r="T50">
        <v>23.126363582464698</v>
      </c>
      <c r="U50" t="s">
        <v>25</v>
      </c>
      <c r="V50">
        <v>1.6981125407144</v>
      </c>
      <c r="W50" t="s">
        <v>26</v>
      </c>
      <c r="X50" t="s">
        <v>12</v>
      </c>
      <c r="Y50">
        <v>768.65191395437</v>
      </c>
      <c r="Z50" s="11">
        <f>Table1_1[[#This Row],[Shipping Costs]]+Table1_1[[#This Row],[Manufacturing Costs]]+Table1_1[[#This Row],[Costs]]</f>
        <v>798.87411069338987</v>
      </c>
      <c r="AA50" s="11">
        <f>Table1_1[[#This Row],[Revenue Generated]]-Table1_1[[#This Row],[COGS]]</f>
        <v>6598.1968938937898</v>
      </c>
    </row>
    <row r="51" spans="1:27" x14ac:dyDescent="0.3">
      <c r="A51" t="s">
        <v>160</v>
      </c>
      <c r="B51" t="s">
        <v>81</v>
      </c>
      <c r="C51" s="7">
        <f>Table1_1[[#This Row],[Number Of Products Sold]]/Table1_1[[#This Row],[Stock Levels]]</f>
        <v>1.0206185567010309</v>
      </c>
      <c r="D51">
        <v>78.897913205639995</v>
      </c>
      <c r="E51">
        <v>19</v>
      </c>
      <c r="F51">
        <v>99</v>
      </c>
      <c r="G51" s="10">
        <v>8001.6132065190004</v>
      </c>
      <c r="H51" t="s">
        <v>17</v>
      </c>
      <c r="I51">
        <v>97</v>
      </c>
      <c r="J51">
        <v>24</v>
      </c>
      <c r="K51">
        <v>9</v>
      </c>
      <c r="L51">
        <v>6</v>
      </c>
      <c r="M51" t="s">
        <v>22</v>
      </c>
      <c r="N51">
        <v>2.5056210329009101</v>
      </c>
      <c r="O51" t="s">
        <v>23</v>
      </c>
      <c r="P51" t="s">
        <v>29</v>
      </c>
      <c r="Q51">
        <v>28</v>
      </c>
      <c r="R51">
        <v>177</v>
      </c>
      <c r="S51">
        <v>28</v>
      </c>
      <c r="T51">
        <v>14.1478154439792</v>
      </c>
      <c r="U51" t="s">
        <v>42</v>
      </c>
      <c r="V51">
        <v>2.8258139854001301</v>
      </c>
      <c r="W51" t="s">
        <v>26</v>
      </c>
      <c r="X51" t="s">
        <v>27</v>
      </c>
      <c r="Y51">
        <v>336.89016851997701</v>
      </c>
      <c r="Z51" s="11">
        <f>Table1_1[[#This Row],[Shipping Costs]]+Table1_1[[#This Row],[Manufacturing Costs]]+Table1_1[[#This Row],[Costs]]</f>
        <v>353.54360499685714</v>
      </c>
      <c r="AA51" s="11">
        <f>Table1_1[[#This Row],[Revenue Generated]]-Table1_1[[#This Row],[COGS]]</f>
        <v>7648.0696015221429</v>
      </c>
    </row>
    <row r="52" spans="1:27" x14ac:dyDescent="0.3">
      <c r="A52" t="s">
        <v>160</v>
      </c>
      <c r="B52" t="s">
        <v>82</v>
      </c>
      <c r="C52" s="7">
        <f>Table1_1[[#This Row],[Number Of Products Sold]]/Table1_1[[#This Row],[Stock Levels]]</f>
        <v>20.419354838709676</v>
      </c>
      <c r="D52">
        <v>14.203484264803</v>
      </c>
      <c r="E52">
        <v>91</v>
      </c>
      <c r="F52">
        <v>633</v>
      </c>
      <c r="G52" s="10">
        <v>5910.8853896688897</v>
      </c>
      <c r="H52" t="s">
        <v>14</v>
      </c>
      <c r="I52">
        <v>31</v>
      </c>
      <c r="J52">
        <v>23</v>
      </c>
      <c r="K52">
        <v>82</v>
      </c>
      <c r="L52">
        <v>10</v>
      </c>
      <c r="M52" t="s">
        <v>15</v>
      </c>
      <c r="N52">
        <v>6.2478609149759903</v>
      </c>
      <c r="O52" t="s">
        <v>39</v>
      </c>
      <c r="P52" t="s">
        <v>29</v>
      </c>
      <c r="Q52">
        <v>20</v>
      </c>
      <c r="R52">
        <v>306</v>
      </c>
      <c r="S52">
        <v>21</v>
      </c>
      <c r="T52">
        <v>45.178757924634503</v>
      </c>
      <c r="U52" t="s">
        <v>25</v>
      </c>
      <c r="V52">
        <v>4.7548008046711798</v>
      </c>
      <c r="W52" t="s">
        <v>26</v>
      </c>
      <c r="X52" t="s">
        <v>12</v>
      </c>
      <c r="Y52">
        <v>496.24865029194001</v>
      </c>
      <c r="Z52" s="11">
        <f>Table1_1[[#This Row],[Shipping Costs]]+Table1_1[[#This Row],[Manufacturing Costs]]+Table1_1[[#This Row],[Costs]]</f>
        <v>547.67526913155052</v>
      </c>
      <c r="AA52" s="11">
        <f>Table1_1[[#This Row],[Revenue Generated]]-Table1_1[[#This Row],[COGS]]</f>
        <v>5363.2101205373392</v>
      </c>
    </row>
    <row r="53" spans="1:27" x14ac:dyDescent="0.3">
      <c r="A53" t="s">
        <v>157</v>
      </c>
      <c r="B53" t="s">
        <v>83</v>
      </c>
      <c r="C53" s="7">
        <f>Table1_1[[#This Row],[Number Of Products Sold]]/Table1_1[[#This Row],[Stock Levels]]</f>
        <v>1.54</v>
      </c>
      <c r="D53">
        <v>26.700760972461701</v>
      </c>
      <c r="E53">
        <v>61</v>
      </c>
      <c r="F53">
        <v>154</v>
      </c>
      <c r="G53" s="10">
        <v>9866.4654579796897</v>
      </c>
      <c r="H53" t="s">
        <v>34</v>
      </c>
      <c r="I53">
        <v>100</v>
      </c>
      <c r="J53">
        <v>4</v>
      </c>
      <c r="K53">
        <v>52</v>
      </c>
      <c r="L53">
        <v>1</v>
      </c>
      <c r="M53" t="s">
        <v>15</v>
      </c>
      <c r="N53">
        <v>4.78300055794766</v>
      </c>
      <c r="O53" t="s">
        <v>23</v>
      </c>
      <c r="P53" t="s">
        <v>32</v>
      </c>
      <c r="Q53">
        <v>18</v>
      </c>
      <c r="R53">
        <v>673</v>
      </c>
      <c r="S53">
        <v>28</v>
      </c>
      <c r="T53">
        <v>14.190328344569901</v>
      </c>
      <c r="U53" t="s">
        <v>10</v>
      </c>
      <c r="V53">
        <v>1.77295117208355</v>
      </c>
      <c r="W53" t="s">
        <v>11</v>
      </c>
      <c r="X53" t="s">
        <v>27</v>
      </c>
      <c r="Y53">
        <v>694.98231757944495</v>
      </c>
      <c r="Z53" s="11">
        <f>Table1_1[[#This Row],[Shipping Costs]]+Table1_1[[#This Row],[Manufacturing Costs]]+Table1_1[[#This Row],[Costs]]</f>
        <v>713.9556464819625</v>
      </c>
      <c r="AA53" s="11">
        <f>Table1_1[[#This Row],[Revenue Generated]]-Table1_1[[#This Row],[COGS]]</f>
        <v>9152.5098114977263</v>
      </c>
    </row>
    <row r="54" spans="1:27" x14ac:dyDescent="0.3">
      <c r="A54" t="s">
        <v>159</v>
      </c>
      <c r="B54" t="s">
        <v>84</v>
      </c>
      <c r="C54" s="7">
        <f>Table1_1[[#This Row],[Number Of Products Sold]]/Table1_1[[#This Row],[Stock Levels]]</f>
        <v>12.8125</v>
      </c>
      <c r="D54">
        <v>98.031829656465007</v>
      </c>
      <c r="E54">
        <v>1</v>
      </c>
      <c r="F54">
        <v>820</v>
      </c>
      <c r="G54" s="10">
        <v>9435.7626089121295</v>
      </c>
      <c r="H54" t="s">
        <v>34</v>
      </c>
      <c r="I54">
        <v>64</v>
      </c>
      <c r="J54">
        <v>11</v>
      </c>
      <c r="K54">
        <v>11</v>
      </c>
      <c r="L54">
        <v>1</v>
      </c>
      <c r="M54" t="s">
        <v>7</v>
      </c>
      <c r="N54">
        <v>8.6310521797689397</v>
      </c>
      <c r="O54" t="s">
        <v>18</v>
      </c>
      <c r="P54" t="s">
        <v>9</v>
      </c>
      <c r="Q54">
        <v>10</v>
      </c>
      <c r="R54">
        <v>727</v>
      </c>
      <c r="S54">
        <v>27</v>
      </c>
      <c r="T54">
        <v>9.1668491485971497</v>
      </c>
      <c r="U54" t="s">
        <v>10</v>
      </c>
      <c r="V54">
        <v>2.1224716191438202</v>
      </c>
      <c r="W54" t="s">
        <v>19</v>
      </c>
      <c r="X54" t="s">
        <v>20</v>
      </c>
      <c r="Y54">
        <v>602.89849883838303</v>
      </c>
      <c r="Z54" s="11">
        <f>Table1_1[[#This Row],[Shipping Costs]]+Table1_1[[#This Row],[Manufacturing Costs]]+Table1_1[[#This Row],[Costs]]</f>
        <v>620.69640016674907</v>
      </c>
      <c r="AA54" s="11">
        <f>Table1_1[[#This Row],[Revenue Generated]]-Table1_1[[#This Row],[COGS]]</f>
        <v>8815.0662087453802</v>
      </c>
    </row>
    <row r="55" spans="1:27" x14ac:dyDescent="0.3">
      <c r="A55" t="s">
        <v>159</v>
      </c>
      <c r="B55" t="s">
        <v>85</v>
      </c>
      <c r="C55" s="7">
        <f>Table1_1[[#This Row],[Number Of Products Sold]]/Table1_1[[#This Row],[Stock Levels]]</f>
        <v>2.5208333333333335</v>
      </c>
      <c r="D55">
        <v>30.3414707112142</v>
      </c>
      <c r="E55">
        <v>93</v>
      </c>
      <c r="F55">
        <v>242</v>
      </c>
      <c r="G55" s="10">
        <v>8232.3348294258194</v>
      </c>
      <c r="H55" t="s">
        <v>34</v>
      </c>
      <c r="I55">
        <v>96</v>
      </c>
      <c r="J55">
        <v>25</v>
      </c>
      <c r="K55">
        <v>54</v>
      </c>
      <c r="L55">
        <v>3</v>
      </c>
      <c r="M55" t="s">
        <v>7</v>
      </c>
      <c r="N55">
        <v>1.0134865660958901</v>
      </c>
      <c r="O55" t="s">
        <v>18</v>
      </c>
      <c r="P55" t="s">
        <v>29</v>
      </c>
      <c r="Q55">
        <v>1</v>
      </c>
      <c r="R55">
        <v>631</v>
      </c>
      <c r="S55">
        <v>17</v>
      </c>
      <c r="T55">
        <v>83.344058991677898</v>
      </c>
      <c r="U55" t="s">
        <v>10</v>
      </c>
      <c r="V55">
        <v>1.41034757607602</v>
      </c>
      <c r="W55" t="s">
        <v>19</v>
      </c>
      <c r="X55" t="s">
        <v>12</v>
      </c>
      <c r="Y55">
        <v>750.73784066827</v>
      </c>
      <c r="Z55" s="11">
        <f>Table1_1[[#This Row],[Shipping Costs]]+Table1_1[[#This Row],[Manufacturing Costs]]+Table1_1[[#This Row],[Costs]]</f>
        <v>835.09538622604373</v>
      </c>
      <c r="AA55" s="11">
        <f>Table1_1[[#This Row],[Revenue Generated]]-Table1_1[[#This Row],[COGS]]</f>
        <v>7397.2394431997755</v>
      </c>
    </row>
    <row r="56" spans="1:27" x14ac:dyDescent="0.3">
      <c r="A56" t="s">
        <v>157</v>
      </c>
      <c r="B56" t="s">
        <v>86</v>
      </c>
      <c r="C56" s="7">
        <f>Table1_1[[#This Row],[Number Of Products Sold]]/Table1_1[[#This Row],[Stock Levels]]</f>
        <v>18.848484848484848</v>
      </c>
      <c r="D56">
        <v>31.1462431602408</v>
      </c>
      <c r="E56">
        <v>11</v>
      </c>
      <c r="F56">
        <v>622</v>
      </c>
      <c r="G56" s="10">
        <v>6088.0214799408504</v>
      </c>
      <c r="H56" t="s">
        <v>158</v>
      </c>
      <c r="I56">
        <v>33</v>
      </c>
      <c r="J56">
        <v>22</v>
      </c>
      <c r="K56">
        <v>61</v>
      </c>
      <c r="L56">
        <v>3</v>
      </c>
      <c r="M56" t="s">
        <v>7</v>
      </c>
      <c r="N56">
        <v>4.3051034712876302</v>
      </c>
      <c r="O56" t="s">
        <v>18</v>
      </c>
      <c r="P56" t="s">
        <v>24</v>
      </c>
      <c r="Q56">
        <v>26</v>
      </c>
      <c r="R56">
        <v>497</v>
      </c>
      <c r="S56">
        <v>29</v>
      </c>
      <c r="T56">
        <v>30.186023375822501</v>
      </c>
      <c r="U56" t="s">
        <v>42</v>
      </c>
      <c r="V56">
        <v>2.4787719755397402</v>
      </c>
      <c r="W56" t="s">
        <v>11</v>
      </c>
      <c r="X56" t="s">
        <v>12</v>
      </c>
      <c r="Y56">
        <v>814.06999658218695</v>
      </c>
      <c r="Z56" s="11">
        <f>Table1_1[[#This Row],[Shipping Costs]]+Table1_1[[#This Row],[Manufacturing Costs]]+Table1_1[[#This Row],[Costs]]</f>
        <v>848.56112342929703</v>
      </c>
      <c r="AA56" s="11">
        <f>Table1_1[[#This Row],[Revenue Generated]]-Table1_1[[#This Row],[COGS]]</f>
        <v>5239.4603565115531</v>
      </c>
    </row>
    <row r="57" spans="1:27" x14ac:dyDescent="0.3">
      <c r="A57" t="s">
        <v>157</v>
      </c>
      <c r="B57" t="s">
        <v>87</v>
      </c>
      <c r="C57" s="7">
        <f>Table1_1[[#This Row],[Number Of Products Sold]]/Table1_1[[#This Row],[Stock Levels]]</f>
        <v>7.2268041237113403</v>
      </c>
      <c r="D57">
        <v>79.855058340789398</v>
      </c>
      <c r="E57">
        <v>16</v>
      </c>
      <c r="F57">
        <v>701</v>
      </c>
      <c r="G57" s="10">
        <v>2925.6751703038099</v>
      </c>
      <c r="H57" t="s">
        <v>34</v>
      </c>
      <c r="I57">
        <v>97</v>
      </c>
      <c r="J57">
        <v>11</v>
      </c>
      <c r="K57">
        <v>11</v>
      </c>
      <c r="L57">
        <v>5</v>
      </c>
      <c r="M57" t="s">
        <v>15</v>
      </c>
      <c r="N57">
        <v>5.0143649550309002</v>
      </c>
      <c r="O57" t="s">
        <v>39</v>
      </c>
      <c r="P57" t="s">
        <v>29</v>
      </c>
      <c r="Q57">
        <v>27</v>
      </c>
      <c r="R57">
        <v>918</v>
      </c>
      <c r="S57">
        <v>5</v>
      </c>
      <c r="T57">
        <v>30.323545256616502</v>
      </c>
      <c r="U57" t="s">
        <v>25</v>
      </c>
      <c r="V57">
        <v>4.5489196593963799</v>
      </c>
      <c r="W57" t="s">
        <v>35</v>
      </c>
      <c r="X57" t="s">
        <v>12</v>
      </c>
      <c r="Y57">
        <v>323.01292795247798</v>
      </c>
      <c r="Z57" s="11">
        <f>Table1_1[[#This Row],[Shipping Costs]]+Table1_1[[#This Row],[Manufacturing Costs]]+Table1_1[[#This Row],[Costs]]</f>
        <v>358.35083816412538</v>
      </c>
      <c r="AA57" s="11">
        <f>Table1_1[[#This Row],[Revenue Generated]]-Table1_1[[#This Row],[COGS]]</f>
        <v>2567.3243321396844</v>
      </c>
    </row>
    <row r="58" spans="1:27" x14ac:dyDescent="0.3">
      <c r="A58" t="s">
        <v>159</v>
      </c>
      <c r="B58" t="s">
        <v>88</v>
      </c>
      <c r="C58" s="7">
        <f>Table1_1[[#This Row],[Number Of Products Sold]]/Table1_1[[#This Row],[Stock Levels]]</f>
        <v>3.72</v>
      </c>
      <c r="D58">
        <v>20.9863860370433</v>
      </c>
      <c r="E58">
        <v>90</v>
      </c>
      <c r="F58">
        <v>93</v>
      </c>
      <c r="G58" s="10">
        <v>4767.0204843441297</v>
      </c>
      <c r="H58" t="s">
        <v>158</v>
      </c>
      <c r="I58">
        <v>25</v>
      </c>
      <c r="J58">
        <v>23</v>
      </c>
      <c r="K58">
        <v>83</v>
      </c>
      <c r="L58">
        <v>5</v>
      </c>
      <c r="M58" t="s">
        <v>22</v>
      </c>
      <c r="N58">
        <v>1.77442971407173</v>
      </c>
      <c r="O58" t="s">
        <v>18</v>
      </c>
      <c r="P58" t="s">
        <v>9</v>
      </c>
      <c r="Q58">
        <v>24</v>
      </c>
      <c r="R58">
        <v>826</v>
      </c>
      <c r="S58">
        <v>28</v>
      </c>
      <c r="T58">
        <v>12.8362845728327</v>
      </c>
      <c r="U58" t="s">
        <v>42</v>
      </c>
      <c r="V58">
        <v>1.1737554953874501</v>
      </c>
      <c r="W58" t="s">
        <v>19</v>
      </c>
      <c r="X58" t="s">
        <v>12</v>
      </c>
      <c r="Y58">
        <v>832.210808706021</v>
      </c>
      <c r="Z58" s="11">
        <f>Table1_1[[#This Row],[Shipping Costs]]+Table1_1[[#This Row],[Manufacturing Costs]]+Table1_1[[#This Row],[Costs]]</f>
        <v>846.82152299292545</v>
      </c>
      <c r="AA58" s="11">
        <f>Table1_1[[#This Row],[Revenue Generated]]-Table1_1[[#This Row],[COGS]]</f>
        <v>3920.1989613512042</v>
      </c>
    </row>
    <row r="59" spans="1:27" x14ac:dyDescent="0.3">
      <c r="A59" t="s">
        <v>157</v>
      </c>
      <c r="B59" t="s">
        <v>89</v>
      </c>
      <c r="C59" s="7">
        <f>Table1_1[[#This Row],[Number Of Products Sold]]/Table1_1[[#This Row],[Stock Levels]]</f>
        <v>45.4</v>
      </c>
      <c r="D59">
        <v>49.263205350734097</v>
      </c>
      <c r="E59">
        <v>65</v>
      </c>
      <c r="F59">
        <v>227</v>
      </c>
      <c r="G59" s="10">
        <v>1605.8669003924001</v>
      </c>
      <c r="H59" t="s">
        <v>17</v>
      </c>
      <c r="I59">
        <v>5</v>
      </c>
      <c r="J59">
        <v>18</v>
      </c>
      <c r="K59">
        <v>51</v>
      </c>
      <c r="L59">
        <v>1</v>
      </c>
      <c r="M59" t="s">
        <v>7</v>
      </c>
      <c r="N59">
        <v>9.1605585353818704</v>
      </c>
      <c r="O59" t="s">
        <v>39</v>
      </c>
      <c r="P59" t="s">
        <v>29</v>
      </c>
      <c r="Q59">
        <v>21</v>
      </c>
      <c r="R59">
        <v>588</v>
      </c>
      <c r="S59">
        <v>25</v>
      </c>
      <c r="T59">
        <v>67.779622987078099</v>
      </c>
      <c r="U59" t="s">
        <v>10</v>
      </c>
      <c r="V59">
        <v>2.5111748302126999</v>
      </c>
      <c r="W59" t="s">
        <v>26</v>
      </c>
      <c r="X59" t="s">
        <v>27</v>
      </c>
      <c r="Y59">
        <v>482.19123860252802</v>
      </c>
      <c r="Z59" s="11">
        <f>Table1_1[[#This Row],[Shipping Costs]]+Table1_1[[#This Row],[Manufacturing Costs]]+Table1_1[[#This Row],[Costs]]</f>
        <v>559.13142012498793</v>
      </c>
      <c r="AA59" s="11">
        <f>Table1_1[[#This Row],[Revenue Generated]]-Table1_1[[#This Row],[COGS]]</f>
        <v>1046.7354802674122</v>
      </c>
    </row>
    <row r="60" spans="1:27" x14ac:dyDescent="0.3">
      <c r="A60" t="s">
        <v>159</v>
      </c>
      <c r="B60" t="s">
        <v>90</v>
      </c>
      <c r="C60" s="7">
        <f>Table1_1[[#This Row],[Number Of Products Sold]]/Table1_1[[#This Row],[Stock Levels]]</f>
        <v>89.6</v>
      </c>
      <c r="D60">
        <v>59.841561377289302</v>
      </c>
      <c r="E60">
        <v>81</v>
      </c>
      <c r="F60">
        <v>896</v>
      </c>
      <c r="G60" s="10">
        <v>2021.1498103371</v>
      </c>
      <c r="H60" t="s">
        <v>158</v>
      </c>
      <c r="I60">
        <v>10</v>
      </c>
      <c r="J60">
        <v>5</v>
      </c>
      <c r="K60">
        <v>44</v>
      </c>
      <c r="L60">
        <v>7</v>
      </c>
      <c r="M60" t="s">
        <v>15</v>
      </c>
      <c r="N60">
        <v>4.9384385647120901</v>
      </c>
      <c r="O60" t="s">
        <v>8</v>
      </c>
      <c r="P60" t="s">
        <v>29</v>
      </c>
      <c r="Q60">
        <v>18</v>
      </c>
      <c r="R60">
        <v>396</v>
      </c>
      <c r="S60">
        <v>7</v>
      </c>
      <c r="T60">
        <v>65.047415094691402</v>
      </c>
      <c r="U60" t="s">
        <v>25</v>
      </c>
      <c r="V60">
        <v>1.7303747198591899</v>
      </c>
      <c r="W60" t="s">
        <v>11</v>
      </c>
      <c r="X60" t="s">
        <v>12</v>
      </c>
      <c r="Y60">
        <v>110.364335231364</v>
      </c>
      <c r="Z60" s="11">
        <f>Table1_1[[#This Row],[Shipping Costs]]+Table1_1[[#This Row],[Manufacturing Costs]]+Table1_1[[#This Row],[Costs]]</f>
        <v>180.35018889076747</v>
      </c>
      <c r="AA60" s="11">
        <f>Table1_1[[#This Row],[Revenue Generated]]-Table1_1[[#This Row],[COGS]]</f>
        <v>1840.7996214463326</v>
      </c>
    </row>
    <row r="61" spans="1:27" x14ac:dyDescent="0.3">
      <c r="A61" t="s">
        <v>160</v>
      </c>
      <c r="B61" t="s">
        <v>91</v>
      </c>
      <c r="C61" s="7">
        <f>Table1_1[[#This Row],[Number Of Products Sold]]/Table1_1[[#This Row],[Stock Levels]]</f>
        <v>4.84</v>
      </c>
      <c r="D61">
        <v>63.828398347710902</v>
      </c>
      <c r="E61">
        <v>30</v>
      </c>
      <c r="F61">
        <v>484</v>
      </c>
      <c r="G61" s="10">
        <v>1061.6185230132801</v>
      </c>
      <c r="H61" t="s">
        <v>158</v>
      </c>
      <c r="I61">
        <v>100</v>
      </c>
      <c r="J61">
        <v>16</v>
      </c>
      <c r="K61">
        <v>26</v>
      </c>
      <c r="L61">
        <v>7</v>
      </c>
      <c r="M61" t="s">
        <v>7</v>
      </c>
      <c r="N61">
        <v>7.2937225968677204</v>
      </c>
      <c r="O61" t="s">
        <v>18</v>
      </c>
      <c r="P61" t="s">
        <v>24</v>
      </c>
      <c r="Q61">
        <v>11</v>
      </c>
      <c r="R61">
        <v>176</v>
      </c>
      <c r="S61">
        <v>4</v>
      </c>
      <c r="T61">
        <v>1.90076224351945</v>
      </c>
      <c r="U61" t="s">
        <v>25</v>
      </c>
      <c r="V61">
        <v>0.44719401546382298</v>
      </c>
      <c r="W61" t="s">
        <v>19</v>
      </c>
      <c r="X61" t="s">
        <v>27</v>
      </c>
      <c r="Y61">
        <v>312.57427361009297</v>
      </c>
      <c r="Z61" s="11">
        <f>Table1_1[[#This Row],[Shipping Costs]]+Table1_1[[#This Row],[Manufacturing Costs]]+Table1_1[[#This Row],[Costs]]</f>
        <v>321.76875845048016</v>
      </c>
      <c r="AA61" s="11">
        <f>Table1_1[[#This Row],[Revenue Generated]]-Table1_1[[#This Row],[COGS]]</f>
        <v>739.84976456279992</v>
      </c>
    </row>
    <row r="62" spans="1:27" x14ac:dyDescent="0.3">
      <c r="A62" t="s">
        <v>159</v>
      </c>
      <c r="B62" t="s">
        <v>92</v>
      </c>
      <c r="C62" s="7">
        <f>Table1_1[[#This Row],[Number Of Products Sold]]/Table1_1[[#This Row],[Stock Levels]]</f>
        <v>9.2682926829268286</v>
      </c>
      <c r="D62">
        <v>17.028027920188698</v>
      </c>
      <c r="E62">
        <v>16</v>
      </c>
      <c r="F62">
        <v>380</v>
      </c>
      <c r="G62" s="10">
        <v>8864.0843495864301</v>
      </c>
      <c r="H62" t="s">
        <v>14</v>
      </c>
      <c r="I62">
        <v>41</v>
      </c>
      <c r="J62">
        <v>27</v>
      </c>
      <c r="K62">
        <v>72</v>
      </c>
      <c r="L62">
        <v>8</v>
      </c>
      <c r="M62" t="s">
        <v>22</v>
      </c>
      <c r="N62">
        <v>4.3813681581023101</v>
      </c>
      <c r="O62" t="s">
        <v>31</v>
      </c>
      <c r="P62" t="s">
        <v>9</v>
      </c>
      <c r="Q62">
        <v>29</v>
      </c>
      <c r="R62">
        <v>929</v>
      </c>
      <c r="S62">
        <v>24</v>
      </c>
      <c r="T62">
        <v>87.213057815135599</v>
      </c>
      <c r="U62" t="s">
        <v>25</v>
      </c>
      <c r="V62">
        <v>2.8530906166490499</v>
      </c>
      <c r="W62" t="s">
        <v>26</v>
      </c>
      <c r="X62" t="s">
        <v>27</v>
      </c>
      <c r="Y62">
        <v>430.16909697513597</v>
      </c>
      <c r="Z62" s="11">
        <f>Table1_1[[#This Row],[Shipping Costs]]+Table1_1[[#This Row],[Manufacturing Costs]]+Table1_1[[#This Row],[Costs]]</f>
        <v>521.76352294837386</v>
      </c>
      <c r="AA62" s="11">
        <f>Table1_1[[#This Row],[Revenue Generated]]-Table1_1[[#This Row],[COGS]]</f>
        <v>8342.320826638057</v>
      </c>
    </row>
    <row r="63" spans="1:27" x14ac:dyDescent="0.3">
      <c r="A63" t="s">
        <v>157</v>
      </c>
      <c r="B63" t="s">
        <v>93</v>
      </c>
      <c r="C63" s="7">
        <f>Table1_1[[#This Row],[Number Of Products Sold]]/Table1_1[[#This Row],[Stock Levels]]</f>
        <v>3.65625</v>
      </c>
      <c r="D63">
        <v>52.028749903294901</v>
      </c>
      <c r="E63">
        <v>23</v>
      </c>
      <c r="F63">
        <v>117</v>
      </c>
      <c r="G63" s="10">
        <v>6885.5893508962499</v>
      </c>
      <c r="H63" t="s">
        <v>17</v>
      </c>
      <c r="I63">
        <v>32</v>
      </c>
      <c r="J63">
        <v>23</v>
      </c>
      <c r="K63">
        <v>36</v>
      </c>
      <c r="L63">
        <v>7</v>
      </c>
      <c r="M63" t="s">
        <v>22</v>
      </c>
      <c r="N63">
        <v>9.0303404225219399</v>
      </c>
      <c r="O63" t="s">
        <v>31</v>
      </c>
      <c r="P63" t="s">
        <v>24</v>
      </c>
      <c r="Q63">
        <v>14</v>
      </c>
      <c r="R63">
        <v>480</v>
      </c>
      <c r="S63">
        <v>12</v>
      </c>
      <c r="T63">
        <v>78.702393968878894</v>
      </c>
      <c r="U63" t="s">
        <v>25</v>
      </c>
      <c r="V63">
        <v>4.3674705382050503</v>
      </c>
      <c r="W63" t="s">
        <v>19</v>
      </c>
      <c r="X63" t="s">
        <v>27</v>
      </c>
      <c r="Y63">
        <v>164.366528243419</v>
      </c>
      <c r="Z63" s="11">
        <f>Table1_1[[#This Row],[Shipping Costs]]+Table1_1[[#This Row],[Manufacturing Costs]]+Table1_1[[#This Row],[Costs]]</f>
        <v>252.09926263481984</v>
      </c>
      <c r="AA63" s="11">
        <f>Table1_1[[#This Row],[Revenue Generated]]-Table1_1[[#This Row],[COGS]]</f>
        <v>6633.4900882614302</v>
      </c>
    </row>
    <row r="64" spans="1:27" x14ac:dyDescent="0.3">
      <c r="A64" t="s">
        <v>160</v>
      </c>
      <c r="B64" t="s">
        <v>94</v>
      </c>
      <c r="C64" s="7">
        <f>Table1_1[[#This Row],[Number Of Products Sold]]/Table1_1[[#This Row],[Stock Levels]]</f>
        <v>3.13953488372093</v>
      </c>
      <c r="D64">
        <v>72.796353955587307</v>
      </c>
      <c r="E64">
        <v>89</v>
      </c>
      <c r="F64">
        <v>270</v>
      </c>
      <c r="G64" s="10">
        <v>3899.7468337292198</v>
      </c>
      <c r="H64" t="s">
        <v>17</v>
      </c>
      <c r="I64">
        <v>86</v>
      </c>
      <c r="J64">
        <v>2</v>
      </c>
      <c r="K64">
        <v>40</v>
      </c>
      <c r="L64">
        <v>7</v>
      </c>
      <c r="M64" t="s">
        <v>22</v>
      </c>
      <c r="N64">
        <v>7.2917013887767697</v>
      </c>
      <c r="O64" t="s">
        <v>39</v>
      </c>
      <c r="P64" t="s">
        <v>9</v>
      </c>
      <c r="Q64">
        <v>13</v>
      </c>
      <c r="R64">
        <v>751</v>
      </c>
      <c r="S64">
        <v>14</v>
      </c>
      <c r="T64">
        <v>21.048642725168602</v>
      </c>
      <c r="U64" t="s">
        <v>42</v>
      </c>
      <c r="V64">
        <v>1.87400140404437</v>
      </c>
      <c r="W64" t="s">
        <v>35</v>
      </c>
      <c r="X64" t="s">
        <v>20</v>
      </c>
      <c r="Y64">
        <v>320.84651575911101</v>
      </c>
      <c r="Z64" s="11">
        <f>Table1_1[[#This Row],[Shipping Costs]]+Table1_1[[#This Row],[Manufacturing Costs]]+Table1_1[[#This Row],[Costs]]</f>
        <v>349.18685987305639</v>
      </c>
      <c r="AA64" s="11">
        <f>Table1_1[[#This Row],[Revenue Generated]]-Table1_1[[#This Row],[COGS]]</f>
        <v>3550.5599738561632</v>
      </c>
    </row>
    <row r="65" spans="1:27" x14ac:dyDescent="0.3">
      <c r="A65" t="s">
        <v>159</v>
      </c>
      <c r="B65" t="s">
        <v>95</v>
      </c>
      <c r="C65" s="7">
        <f>Table1_1[[#This Row],[Number Of Products Sold]]/Table1_1[[#This Row],[Stock Levels]]</f>
        <v>4.5555555555555554</v>
      </c>
      <c r="D65">
        <v>13.0173767852878</v>
      </c>
      <c r="E65">
        <v>55</v>
      </c>
      <c r="F65">
        <v>246</v>
      </c>
      <c r="G65" s="10">
        <v>4256.9491408502199</v>
      </c>
      <c r="H65" t="s">
        <v>158</v>
      </c>
      <c r="I65">
        <v>54</v>
      </c>
      <c r="J65">
        <v>19</v>
      </c>
      <c r="K65">
        <v>10</v>
      </c>
      <c r="L65">
        <v>4</v>
      </c>
      <c r="M65" t="s">
        <v>15</v>
      </c>
      <c r="N65">
        <v>2.45793352798733</v>
      </c>
      <c r="O65" t="s">
        <v>8</v>
      </c>
      <c r="P65" t="s">
        <v>32</v>
      </c>
      <c r="Q65">
        <v>18</v>
      </c>
      <c r="R65">
        <v>736</v>
      </c>
      <c r="S65">
        <v>10</v>
      </c>
      <c r="T65">
        <v>20.075003975630398</v>
      </c>
      <c r="U65" t="s">
        <v>10</v>
      </c>
      <c r="V65">
        <v>3.6328432903821302</v>
      </c>
      <c r="W65" t="s">
        <v>35</v>
      </c>
      <c r="X65" t="s">
        <v>27</v>
      </c>
      <c r="Y65">
        <v>687.28617786641701</v>
      </c>
      <c r="Z65" s="11">
        <f>Table1_1[[#This Row],[Shipping Costs]]+Table1_1[[#This Row],[Manufacturing Costs]]+Table1_1[[#This Row],[Costs]]</f>
        <v>709.81911537003475</v>
      </c>
      <c r="AA65" s="11">
        <f>Table1_1[[#This Row],[Revenue Generated]]-Table1_1[[#This Row],[COGS]]</f>
        <v>3547.1300254801854</v>
      </c>
    </row>
    <row r="66" spans="1:27" x14ac:dyDescent="0.3">
      <c r="A66" t="s">
        <v>159</v>
      </c>
      <c r="B66" t="s">
        <v>96</v>
      </c>
      <c r="C66" s="7">
        <f>Table1_1[[#This Row],[Number Of Products Sold]]/Table1_1[[#This Row],[Stock Levels]]</f>
        <v>1.8356164383561644</v>
      </c>
      <c r="D66">
        <v>89.634095608135297</v>
      </c>
      <c r="E66">
        <v>11</v>
      </c>
      <c r="F66">
        <v>134</v>
      </c>
      <c r="G66" s="10">
        <v>8458.7308783671706</v>
      </c>
      <c r="H66" t="s">
        <v>14</v>
      </c>
      <c r="I66">
        <v>73</v>
      </c>
      <c r="J66">
        <v>27</v>
      </c>
      <c r="K66">
        <v>75</v>
      </c>
      <c r="L66">
        <v>6</v>
      </c>
      <c r="M66" t="s">
        <v>22</v>
      </c>
      <c r="N66">
        <v>4.5853534681946497</v>
      </c>
      <c r="O66" t="s">
        <v>18</v>
      </c>
      <c r="P66" t="s">
        <v>29</v>
      </c>
      <c r="Q66">
        <v>17</v>
      </c>
      <c r="R66">
        <v>328</v>
      </c>
      <c r="S66">
        <v>6</v>
      </c>
      <c r="T66">
        <v>8.6930424258772803</v>
      </c>
      <c r="U66" t="s">
        <v>25</v>
      </c>
      <c r="V66">
        <v>0.15948631471751401</v>
      </c>
      <c r="W66" t="s">
        <v>19</v>
      </c>
      <c r="X66" t="s">
        <v>20</v>
      </c>
      <c r="Y66">
        <v>771.225084681157</v>
      </c>
      <c r="Z66" s="11">
        <f>Table1_1[[#This Row],[Shipping Costs]]+Table1_1[[#This Row],[Manufacturing Costs]]+Table1_1[[#This Row],[Costs]]</f>
        <v>784.50348057522888</v>
      </c>
      <c r="AA66" s="11">
        <f>Table1_1[[#This Row],[Revenue Generated]]-Table1_1[[#This Row],[COGS]]</f>
        <v>7674.2273977919413</v>
      </c>
    </row>
    <row r="67" spans="1:27" x14ac:dyDescent="0.3">
      <c r="A67" t="s">
        <v>159</v>
      </c>
      <c r="B67" t="s">
        <v>97</v>
      </c>
      <c r="C67" s="7">
        <f>Table1_1[[#This Row],[Number Of Products Sold]]/Table1_1[[#This Row],[Stock Levels]]</f>
        <v>8.0175438596491233</v>
      </c>
      <c r="D67">
        <v>33.697717206643098</v>
      </c>
      <c r="E67">
        <v>72</v>
      </c>
      <c r="F67">
        <v>457</v>
      </c>
      <c r="G67" s="10">
        <v>8354.5796864819895</v>
      </c>
      <c r="H67" t="s">
        <v>34</v>
      </c>
      <c r="I67">
        <v>57</v>
      </c>
      <c r="J67">
        <v>24</v>
      </c>
      <c r="K67">
        <v>54</v>
      </c>
      <c r="L67">
        <v>8</v>
      </c>
      <c r="M67" t="s">
        <v>22</v>
      </c>
      <c r="N67">
        <v>6.5805413478845898</v>
      </c>
      <c r="O67" t="s">
        <v>23</v>
      </c>
      <c r="P67" t="s">
        <v>24</v>
      </c>
      <c r="Q67">
        <v>16</v>
      </c>
      <c r="R67">
        <v>358</v>
      </c>
      <c r="S67">
        <v>21</v>
      </c>
      <c r="T67">
        <v>1.59722274305067</v>
      </c>
      <c r="U67" t="s">
        <v>25</v>
      </c>
      <c r="V67">
        <v>4.9110959548423301</v>
      </c>
      <c r="W67" t="s">
        <v>26</v>
      </c>
      <c r="X67" t="s">
        <v>20</v>
      </c>
      <c r="Y67">
        <v>555.85910367174301</v>
      </c>
      <c r="Z67" s="11">
        <f>Table1_1[[#This Row],[Shipping Costs]]+Table1_1[[#This Row],[Manufacturing Costs]]+Table1_1[[#This Row],[Costs]]</f>
        <v>564.0368677626783</v>
      </c>
      <c r="AA67" s="11">
        <f>Table1_1[[#This Row],[Revenue Generated]]-Table1_1[[#This Row],[COGS]]</f>
        <v>7790.5428187193111</v>
      </c>
    </row>
    <row r="68" spans="1:27" x14ac:dyDescent="0.3">
      <c r="A68" t="s">
        <v>159</v>
      </c>
      <c r="B68" t="s">
        <v>98</v>
      </c>
      <c r="C68" s="7">
        <f>Table1_1[[#This Row],[Number Of Products Sold]]/Table1_1[[#This Row],[Stock Levels]]</f>
        <v>54.153846153846153</v>
      </c>
      <c r="D68">
        <v>26.034869773962001</v>
      </c>
      <c r="E68">
        <v>52</v>
      </c>
      <c r="F68">
        <v>704</v>
      </c>
      <c r="G68" s="10">
        <v>8367.7216180201503</v>
      </c>
      <c r="H68" t="s">
        <v>14</v>
      </c>
      <c r="I68">
        <v>13</v>
      </c>
      <c r="J68">
        <v>17</v>
      </c>
      <c r="K68">
        <v>19</v>
      </c>
      <c r="L68">
        <v>8</v>
      </c>
      <c r="M68" t="s">
        <v>15</v>
      </c>
      <c r="N68">
        <v>2.2161427287713602</v>
      </c>
      <c r="O68" t="s">
        <v>23</v>
      </c>
      <c r="P68" t="s">
        <v>24</v>
      </c>
      <c r="Q68">
        <v>24</v>
      </c>
      <c r="R68">
        <v>867</v>
      </c>
      <c r="S68">
        <v>28</v>
      </c>
      <c r="T68">
        <v>42.084436738309897</v>
      </c>
      <c r="U68" t="s">
        <v>25</v>
      </c>
      <c r="V68">
        <v>3.44806328834026</v>
      </c>
      <c r="W68" t="s">
        <v>11</v>
      </c>
      <c r="X68" t="s">
        <v>27</v>
      </c>
      <c r="Y68">
        <v>393.84334857842703</v>
      </c>
      <c r="Z68" s="11">
        <f>Table1_1[[#This Row],[Shipping Costs]]+Table1_1[[#This Row],[Manufacturing Costs]]+Table1_1[[#This Row],[Costs]]</f>
        <v>438.14392804550829</v>
      </c>
      <c r="AA68" s="11">
        <f>Table1_1[[#This Row],[Revenue Generated]]-Table1_1[[#This Row],[COGS]]</f>
        <v>7929.5776899746425</v>
      </c>
    </row>
    <row r="69" spans="1:27" x14ac:dyDescent="0.3">
      <c r="A69" t="s">
        <v>159</v>
      </c>
      <c r="B69" t="s">
        <v>99</v>
      </c>
      <c r="C69" s="7">
        <f>Table1_1[[#This Row],[Number Of Products Sold]]/Table1_1[[#This Row],[Stock Levels]]</f>
        <v>42.75</v>
      </c>
      <c r="D69">
        <v>87.755432354001002</v>
      </c>
      <c r="E69">
        <v>16</v>
      </c>
      <c r="F69">
        <v>513</v>
      </c>
      <c r="G69" s="10">
        <v>9473.7980325083299</v>
      </c>
      <c r="H69" t="s">
        <v>17</v>
      </c>
      <c r="I69">
        <v>12</v>
      </c>
      <c r="J69">
        <v>9</v>
      </c>
      <c r="K69">
        <v>71</v>
      </c>
      <c r="L69">
        <v>9</v>
      </c>
      <c r="M69" t="s">
        <v>22</v>
      </c>
      <c r="N69">
        <v>9.1478115447106294</v>
      </c>
      <c r="O69" t="s">
        <v>18</v>
      </c>
      <c r="P69" t="s">
        <v>9</v>
      </c>
      <c r="Q69">
        <v>10</v>
      </c>
      <c r="R69">
        <v>198</v>
      </c>
      <c r="S69">
        <v>11</v>
      </c>
      <c r="T69">
        <v>7.0578761469782298</v>
      </c>
      <c r="U69" t="s">
        <v>42</v>
      </c>
      <c r="V69">
        <v>0.131955444311814</v>
      </c>
      <c r="W69" t="s">
        <v>35</v>
      </c>
      <c r="X69" t="s">
        <v>20</v>
      </c>
      <c r="Y69">
        <v>169.27180138478599</v>
      </c>
      <c r="Z69" s="11">
        <f>Table1_1[[#This Row],[Shipping Costs]]+Table1_1[[#This Row],[Manufacturing Costs]]+Table1_1[[#This Row],[Costs]]</f>
        <v>185.47748907647485</v>
      </c>
      <c r="AA69" s="11">
        <f>Table1_1[[#This Row],[Revenue Generated]]-Table1_1[[#This Row],[COGS]]</f>
        <v>9288.3205434318552</v>
      </c>
    </row>
    <row r="70" spans="1:27" x14ac:dyDescent="0.3">
      <c r="A70" t="s">
        <v>157</v>
      </c>
      <c r="B70" t="s">
        <v>100</v>
      </c>
      <c r="C70" s="7" t="e">
        <f>Table1_1[[#This Row],[Number Of Products Sold]]/Table1_1[[#This Row],[Stock Levels]]</f>
        <v>#DIV/0!</v>
      </c>
      <c r="D70">
        <v>37.931812382790298</v>
      </c>
      <c r="E70">
        <v>29</v>
      </c>
      <c r="F70">
        <v>163</v>
      </c>
      <c r="G70" s="10">
        <v>3550.21843278099</v>
      </c>
      <c r="H70" t="s">
        <v>158</v>
      </c>
      <c r="I70">
        <v>0</v>
      </c>
      <c r="J70">
        <v>8</v>
      </c>
      <c r="K70">
        <v>58</v>
      </c>
      <c r="L70">
        <v>8</v>
      </c>
      <c r="M70" t="s">
        <v>7</v>
      </c>
      <c r="N70">
        <v>1.19425186488499</v>
      </c>
      <c r="O70" t="s">
        <v>39</v>
      </c>
      <c r="P70" t="s">
        <v>32</v>
      </c>
      <c r="Q70">
        <v>2</v>
      </c>
      <c r="R70">
        <v>375</v>
      </c>
      <c r="S70">
        <v>18</v>
      </c>
      <c r="T70">
        <v>97.113581563462205</v>
      </c>
      <c r="U70" t="s">
        <v>25</v>
      </c>
      <c r="V70">
        <v>1.9834678721741801</v>
      </c>
      <c r="W70" t="s">
        <v>26</v>
      </c>
      <c r="X70" t="s">
        <v>27</v>
      </c>
      <c r="Y70">
        <v>299.70630311810299</v>
      </c>
      <c r="Z70" s="11">
        <f>Table1_1[[#This Row],[Shipping Costs]]+Table1_1[[#This Row],[Manufacturing Costs]]+Table1_1[[#This Row],[Costs]]</f>
        <v>398.01413654645017</v>
      </c>
      <c r="AA70" s="11">
        <f>Table1_1[[#This Row],[Revenue Generated]]-Table1_1[[#This Row],[COGS]]</f>
        <v>3152.2042962345399</v>
      </c>
    </row>
    <row r="71" spans="1:27" x14ac:dyDescent="0.3">
      <c r="A71" t="s">
        <v>159</v>
      </c>
      <c r="B71" t="s">
        <v>101</v>
      </c>
      <c r="C71" s="7">
        <f>Table1_1[[#This Row],[Number Of Products Sold]]/Table1_1[[#This Row],[Stock Levels]]</f>
        <v>5.3789473684210529</v>
      </c>
      <c r="D71">
        <v>54.865528517069698</v>
      </c>
      <c r="E71">
        <v>62</v>
      </c>
      <c r="F71">
        <v>511</v>
      </c>
      <c r="G71" s="10">
        <v>1752.3810874841199</v>
      </c>
      <c r="H71" t="s">
        <v>158</v>
      </c>
      <c r="I71">
        <v>95</v>
      </c>
      <c r="J71">
        <v>1</v>
      </c>
      <c r="K71">
        <v>27</v>
      </c>
      <c r="L71">
        <v>3</v>
      </c>
      <c r="M71" t="s">
        <v>7</v>
      </c>
      <c r="N71">
        <v>9.7052867901203399</v>
      </c>
      <c r="O71" t="s">
        <v>31</v>
      </c>
      <c r="P71" t="s">
        <v>24</v>
      </c>
      <c r="Q71">
        <v>9</v>
      </c>
      <c r="R71">
        <v>862</v>
      </c>
      <c r="S71">
        <v>7</v>
      </c>
      <c r="T71">
        <v>77.627765812748095</v>
      </c>
      <c r="U71" t="s">
        <v>10</v>
      </c>
      <c r="V71">
        <v>1.3623879886490999</v>
      </c>
      <c r="W71" t="s">
        <v>19</v>
      </c>
      <c r="X71" t="s">
        <v>27</v>
      </c>
      <c r="Y71">
        <v>207.66320620857499</v>
      </c>
      <c r="Z71" s="11">
        <f>Table1_1[[#This Row],[Shipping Costs]]+Table1_1[[#This Row],[Manufacturing Costs]]+Table1_1[[#This Row],[Costs]]</f>
        <v>294.99625881144345</v>
      </c>
      <c r="AA71" s="11">
        <f>Table1_1[[#This Row],[Revenue Generated]]-Table1_1[[#This Row],[COGS]]</f>
        <v>1457.3848286726766</v>
      </c>
    </row>
    <row r="72" spans="1:27" x14ac:dyDescent="0.3">
      <c r="A72" t="s">
        <v>157</v>
      </c>
      <c r="B72" t="s">
        <v>102</v>
      </c>
      <c r="C72" s="7">
        <f>Table1_1[[#This Row],[Number Of Products Sold]]/Table1_1[[#This Row],[Stock Levels]]</f>
        <v>3.2</v>
      </c>
      <c r="D72">
        <v>47.914541824058702</v>
      </c>
      <c r="E72">
        <v>90</v>
      </c>
      <c r="F72">
        <v>32</v>
      </c>
      <c r="G72" s="10">
        <v>7014.8879872033804</v>
      </c>
      <c r="H72" t="s">
        <v>14</v>
      </c>
      <c r="I72">
        <v>10</v>
      </c>
      <c r="J72">
        <v>12</v>
      </c>
      <c r="K72">
        <v>22</v>
      </c>
      <c r="L72">
        <v>4</v>
      </c>
      <c r="M72" t="s">
        <v>7</v>
      </c>
      <c r="N72">
        <v>6.3157177546007199</v>
      </c>
      <c r="O72" t="s">
        <v>18</v>
      </c>
      <c r="P72" t="s">
        <v>32</v>
      </c>
      <c r="Q72">
        <v>22</v>
      </c>
      <c r="R72">
        <v>775</v>
      </c>
      <c r="S72">
        <v>16</v>
      </c>
      <c r="T72">
        <v>11.440781823761199</v>
      </c>
      <c r="U72" t="s">
        <v>42</v>
      </c>
      <c r="V72">
        <v>1.8305755986122301</v>
      </c>
      <c r="W72" t="s">
        <v>11</v>
      </c>
      <c r="X72" t="s">
        <v>20</v>
      </c>
      <c r="Y72">
        <v>183.27289874871099</v>
      </c>
      <c r="Z72" s="11">
        <f>Table1_1[[#This Row],[Shipping Costs]]+Table1_1[[#This Row],[Manufacturing Costs]]+Table1_1[[#This Row],[Costs]]</f>
        <v>201.0293983270729</v>
      </c>
      <c r="AA72" s="11">
        <f>Table1_1[[#This Row],[Revenue Generated]]-Table1_1[[#This Row],[COGS]]</f>
        <v>6813.8585888763073</v>
      </c>
    </row>
    <row r="73" spans="1:27" x14ac:dyDescent="0.3">
      <c r="A73" t="s">
        <v>160</v>
      </c>
      <c r="B73" t="s">
        <v>103</v>
      </c>
      <c r="C73" s="7">
        <f>Table1_1[[#This Row],[Number Of Products Sold]]/Table1_1[[#This Row],[Stock Levels]]</f>
        <v>8.3815789473684212</v>
      </c>
      <c r="D73">
        <v>6.3815331627479601</v>
      </c>
      <c r="E73">
        <v>14</v>
      </c>
      <c r="F73">
        <v>637</v>
      </c>
      <c r="G73" s="10">
        <v>8180.3370854254399</v>
      </c>
      <c r="H73" t="s">
        <v>14</v>
      </c>
      <c r="I73">
        <v>76</v>
      </c>
      <c r="J73">
        <v>2</v>
      </c>
      <c r="K73">
        <v>26</v>
      </c>
      <c r="L73">
        <v>6</v>
      </c>
      <c r="M73" t="s">
        <v>15</v>
      </c>
      <c r="N73">
        <v>9.2281903170525101</v>
      </c>
      <c r="O73" t="s">
        <v>39</v>
      </c>
      <c r="P73" t="s">
        <v>32</v>
      </c>
      <c r="Q73">
        <v>2</v>
      </c>
      <c r="R73">
        <v>258</v>
      </c>
      <c r="S73">
        <v>10</v>
      </c>
      <c r="T73">
        <v>30.661677477859499</v>
      </c>
      <c r="U73" t="s">
        <v>10</v>
      </c>
      <c r="V73">
        <v>2.07875060787496</v>
      </c>
      <c r="W73" t="s">
        <v>11</v>
      </c>
      <c r="X73" t="s">
        <v>27</v>
      </c>
      <c r="Y73">
        <v>405.167067888855</v>
      </c>
      <c r="Z73" s="11">
        <f>Table1_1[[#This Row],[Shipping Costs]]+Table1_1[[#This Row],[Manufacturing Costs]]+Table1_1[[#This Row],[Costs]]</f>
        <v>445.05693568376699</v>
      </c>
      <c r="AA73" s="11">
        <f>Table1_1[[#This Row],[Revenue Generated]]-Table1_1[[#This Row],[COGS]]</f>
        <v>7735.2801497416731</v>
      </c>
    </row>
    <row r="74" spans="1:27" x14ac:dyDescent="0.3">
      <c r="A74" t="s">
        <v>160</v>
      </c>
      <c r="B74" t="s">
        <v>104</v>
      </c>
      <c r="C74" s="7">
        <f>Table1_1[[#This Row],[Number Of Products Sold]]/Table1_1[[#This Row],[Stock Levels]]</f>
        <v>8.3859649122807021</v>
      </c>
      <c r="D74">
        <v>90.204427520528</v>
      </c>
      <c r="E74">
        <v>88</v>
      </c>
      <c r="F74">
        <v>478</v>
      </c>
      <c r="G74" s="10">
        <v>2633.1219813122498</v>
      </c>
      <c r="H74" t="s">
        <v>158</v>
      </c>
      <c r="I74">
        <v>57</v>
      </c>
      <c r="J74">
        <v>29</v>
      </c>
      <c r="K74">
        <v>77</v>
      </c>
      <c r="L74">
        <v>9</v>
      </c>
      <c r="M74" t="s">
        <v>15</v>
      </c>
      <c r="N74">
        <v>6.5996141596895397</v>
      </c>
      <c r="O74" t="s">
        <v>18</v>
      </c>
      <c r="P74" t="s">
        <v>32</v>
      </c>
      <c r="Q74">
        <v>21</v>
      </c>
      <c r="R74">
        <v>152</v>
      </c>
      <c r="S74">
        <v>11</v>
      </c>
      <c r="T74">
        <v>55.760492895244198</v>
      </c>
      <c r="U74" t="s">
        <v>10</v>
      </c>
      <c r="V74">
        <v>3.2133296074383</v>
      </c>
      <c r="W74" t="s">
        <v>26</v>
      </c>
      <c r="X74" t="s">
        <v>12</v>
      </c>
      <c r="Y74">
        <v>677.94456984618296</v>
      </c>
      <c r="Z74" s="11">
        <f>Table1_1[[#This Row],[Shipping Costs]]+Table1_1[[#This Row],[Manufacturing Costs]]+Table1_1[[#This Row],[Costs]]</f>
        <v>740.30467690111664</v>
      </c>
      <c r="AA74" s="11">
        <f>Table1_1[[#This Row],[Revenue Generated]]-Table1_1[[#This Row],[COGS]]</f>
        <v>1892.8173044111331</v>
      </c>
    </row>
    <row r="75" spans="1:27" x14ac:dyDescent="0.3">
      <c r="A75" t="s">
        <v>160</v>
      </c>
      <c r="B75" t="s">
        <v>105</v>
      </c>
      <c r="C75" s="7">
        <f>Table1_1[[#This Row],[Number Of Products Sold]]/Table1_1[[#This Row],[Stock Levels]]</f>
        <v>22.058823529411764</v>
      </c>
      <c r="D75">
        <v>83.851017681304597</v>
      </c>
      <c r="E75">
        <v>41</v>
      </c>
      <c r="F75">
        <v>375</v>
      </c>
      <c r="G75" s="10">
        <v>7910.8869161406801</v>
      </c>
      <c r="H75" t="s">
        <v>34</v>
      </c>
      <c r="I75">
        <v>17</v>
      </c>
      <c r="J75">
        <v>25</v>
      </c>
      <c r="K75">
        <v>66</v>
      </c>
      <c r="L75">
        <v>5</v>
      </c>
      <c r="M75" t="s">
        <v>7</v>
      </c>
      <c r="N75">
        <v>1.5129368369160701</v>
      </c>
      <c r="O75" t="s">
        <v>31</v>
      </c>
      <c r="P75" t="s">
        <v>40</v>
      </c>
      <c r="Q75">
        <v>13</v>
      </c>
      <c r="R75">
        <v>444</v>
      </c>
      <c r="S75">
        <v>4</v>
      </c>
      <c r="T75">
        <v>46.870238797617098</v>
      </c>
      <c r="U75" t="s">
        <v>25</v>
      </c>
      <c r="V75">
        <v>4.6205460645137002</v>
      </c>
      <c r="W75" t="s">
        <v>11</v>
      </c>
      <c r="X75" t="s">
        <v>27</v>
      </c>
      <c r="Y75">
        <v>866.472800129657</v>
      </c>
      <c r="Z75" s="11">
        <f>Table1_1[[#This Row],[Shipping Costs]]+Table1_1[[#This Row],[Manufacturing Costs]]+Table1_1[[#This Row],[Costs]]</f>
        <v>914.85597576419013</v>
      </c>
      <c r="AA75" s="11">
        <f>Table1_1[[#This Row],[Revenue Generated]]-Table1_1[[#This Row],[COGS]]</f>
        <v>6996.0309403764895</v>
      </c>
    </row>
    <row r="76" spans="1:27" x14ac:dyDescent="0.3">
      <c r="A76" t="s">
        <v>157</v>
      </c>
      <c r="B76" t="s">
        <v>106</v>
      </c>
      <c r="C76" s="7">
        <f>Table1_1[[#This Row],[Number Of Products Sold]]/Table1_1[[#This Row],[Stock Levels]]</f>
        <v>22.048780487804876</v>
      </c>
      <c r="D76">
        <v>3.1700114135661499</v>
      </c>
      <c r="E76">
        <v>64</v>
      </c>
      <c r="F76">
        <v>904</v>
      </c>
      <c r="G76" s="10">
        <v>5709.9452959692799</v>
      </c>
      <c r="H76" t="s">
        <v>14</v>
      </c>
      <c r="I76">
        <v>41</v>
      </c>
      <c r="J76">
        <v>6</v>
      </c>
      <c r="K76">
        <v>1</v>
      </c>
      <c r="L76">
        <v>5</v>
      </c>
      <c r="M76" t="s">
        <v>15</v>
      </c>
      <c r="N76">
        <v>5.2376546500374399</v>
      </c>
      <c r="O76" t="s">
        <v>31</v>
      </c>
      <c r="P76" t="s">
        <v>29</v>
      </c>
      <c r="Q76">
        <v>1</v>
      </c>
      <c r="R76">
        <v>919</v>
      </c>
      <c r="S76">
        <v>9</v>
      </c>
      <c r="T76">
        <v>80.580852156447804</v>
      </c>
      <c r="U76" t="s">
        <v>25</v>
      </c>
      <c r="V76">
        <v>0.39661272410993498</v>
      </c>
      <c r="W76" t="s">
        <v>26</v>
      </c>
      <c r="X76" t="s">
        <v>27</v>
      </c>
      <c r="Y76">
        <v>341.55265678322297</v>
      </c>
      <c r="Z76" s="11">
        <f>Table1_1[[#This Row],[Shipping Costs]]+Table1_1[[#This Row],[Manufacturing Costs]]+Table1_1[[#This Row],[Costs]]</f>
        <v>427.3711635897082</v>
      </c>
      <c r="AA76" s="11">
        <f>Table1_1[[#This Row],[Revenue Generated]]-Table1_1[[#This Row],[COGS]]</f>
        <v>5282.5741323795719</v>
      </c>
    </row>
    <row r="77" spans="1:27" x14ac:dyDescent="0.3">
      <c r="A77" t="s">
        <v>159</v>
      </c>
      <c r="B77" t="s">
        <v>107</v>
      </c>
      <c r="C77" s="7">
        <f>Table1_1[[#This Row],[Number Of Products Sold]]/Table1_1[[#This Row],[Stock Levels]]</f>
        <v>6.625</v>
      </c>
      <c r="D77">
        <v>92.996884233970604</v>
      </c>
      <c r="E77">
        <v>29</v>
      </c>
      <c r="F77">
        <v>106</v>
      </c>
      <c r="G77" s="10">
        <v>1889.07358977933</v>
      </c>
      <c r="H77" t="s">
        <v>158</v>
      </c>
      <c r="I77">
        <v>16</v>
      </c>
      <c r="J77">
        <v>20</v>
      </c>
      <c r="K77">
        <v>56</v>
      </c>
      <c r="L77">
        <v>10</v>
      </c>
      <c r="M77" t="s">
        <v>22</v>
      </c>
      <c r="N77">
        <v>2.47389776104546</v>
      </c>
      <c r="O77" t="s">
        <v>18</v>
      </c>
      <c r="P77" t="s">
        <v>40</v>
      </c>
      <c r="Q77">
        <v>25</v>
      </c>
      <c r="R77">
        <v>759</v>
      </c>
      <c r="S77">
        <v>11</v>
      </c>
      <c r="T77">
        <v>48.064782640006499</v>
      </c>
      <c r="U77" t="s">
        <v>42</v>
      </c>
      <c r="V77">
        <v>2.0300690886687498</v>
      </c>
      <c r="W77" t="s">
        <v>19</v>
      </c>
      <c r="X77" t="s">
        <v>20</v>
      </c>
      <c r="Y77">
        <v>873.12964801765099</v>
      </c>
      <c r="Z77" s="11">
        <f>Table1_1[[#This Row],[Shipping Costs]]+Table1_1[[#This Row],[Manufacturing Costs]]+Table1_1[[#This Row],[Costs]]</f>
        <v>923.66832841870291</v>
      </c>
      <c r="AA77" s="11">
        <f>Table1_1[[#This Row],[Revenue Generated]]-Table1_1[[#This Row],[COGS]]</f>
        <v>965.40526136062704</v>
      </c>
    </row>
    <row r="78" spans="1:27" x14ac:dyDescent="0.3">
      <c r="A78" t="s">
        <v>157</v>
      </c>
      <c r="B78" t="s">
        <v>108</v>
      </c>
      <c r="C78" s="7">
        <f>Table1_1[[#This Row],[Number Of Products Sold]]/Table1_1[[#This Row],[Stock Levels]]</f>
        <v>6.3421052631578947</v>
      </c>
      <c r="D78">
        <v>69.108799547430294</v>
      </c>
      <c r="E78">
        <v>23</v>
      </c>
      <c r="F78">
        <v>241</v>
      </c>
      <c r="G78" s="10">
        <v>5328.3759842977497</v>
      </c>
      <c r="H78" t="s">
        <v>34</v>
      </c>
      <c r="I78">
        <v>38</v>
      </c>
      <c r="J78">
        <v>1</v>
      </c>
      <c r="K78">
        <v>22</v>
      </c>
      <c r="L78">
        <v>10</v>
      </c>
      <c r="M78" t="s">
        <v>15</v>
      </c>
      <c r="N78">
        <v>7.0545383368369201</v>
      </c>
      <c r="O78" t="s">
        <v>39</v>
      </c>
      <c r="P78" t="s">
        <v>32</v>
      </c>
      <c r="Q78">
        <v>25</v>
      </c>
      <c r="R78">
        <v>985</v>
      </c>
      <c r="S78">
        <v>24</v>
      </c>
      <c r="T78">
        <v>64.323597795600193</v>
      </c>
      <c r="U78" t="s">
        <v>10</v>
      </c>
      <c r="V78">
        <v>2.1800374515822099</v>
      </c>
      <c r="W78" t="s">
        <v>26</v>
      </c>
      <c r="X78" t="s">
        <v>27</v>
      </c>
      <c r="Y78">
        <v>997.41345013319403</v>
      </c>
      <c r="Z78" s="11">
        <f>Table1_1[[#This Row],[Shipping Costs]]+Table1_1[[#This Row],[Manufacturing Costs]]+Table1_1[[#This Row],[Costs]]</f>
        <v>1068.7915862656312</v>
      </c>
      <c r="AA78" s="11">
        <f>Table1_1[[#This Row],[Revenue Generated]]-Table1_1[[#This Row],[COGS]]</f>
        <v>4259.5843980321188</v>
      </c>
    </row>
    <row r="79" spans="1:27" x14ac:dyDescent="0.3">
      <c r="A79" t="s">
        <v>157</v>
      </c>
      <c r="B79" t="s">
        <v>109</v>
      </c>
      <c r="C79" s="7">
        <f>Table1_1[[#This Row],[Number Of Products Sold]]/Table1_1[[#This Row],[Stock Levels]]</f>
        <v>3.7395833333333335</v>
      </c>
      <c r="D79">
        <v>57.449742958971399</v>
      </c>
      <c r="E79">
        <v>14</v>
      </c>
      <c r="F79">
        <v>359</v>
      </c>
      <c r="G79" s="10">
        <v>2483.7601775427902</v>
      </c>
      <c r="H79" t="s">
        <v>17</v>
      </c>
      <c r="I79">
        <v>96</v>
      </c>
      <c r="J79">
        <v>28</v>
      </c>
      <c r="K79">
        <v>57</v>
      </c>
      <c r="L79">
        <v>4</v>
      </c>
      <c r="M79" t="s">
        <v>7</v>
      </c>
      <c r="N79">
        <v>6.7809466256178901</v>
      </c>
      <c r="O79" t="s">
        <v>18</v>
      </c>
      <c r="P79" t="s">
        <v>24</v>
      </c>
      <c r="Q79">
        <v>26</v>
      </c>
      <c r="R79">
        <v>334</v>
      </c>
      <c r="S79">
        <v>5</v>
      </c>
      <c r="T79">
        <v>42.952444748991802</v>
      </c>
      <c r="U79" t="s">
        <v>42</v>
      </c>
      <c r="V79">
        <v>3.0551418183075398</v>
      </c>
      <c r="W79" t="s">
        <v>11</v>
      </c>
      <c r="X79" t="s">
        <v>12</v>
      </c>
      <c r="Y79">
        <v>852.56809891984994</v>
      </c>
      <c r="Z79" s="11">
        <f>Table1_1[[#This Row],[Shipping Costs]]+Table1_1[[#This Row],[Manufacturing Costs]]+Table1_1[[#This Row],[Costs]]</f>
        <v>902.30149029445965</v>
      </c>
      <c r="AA79" s="11">
        <f>Table1_1[[#This Row],[Revenue Generated]]-Table1_1[[#This Row],[COGS]]</f>
        <v>1581.4586872483305</v>
      </c>
    </row>
    <row r="80" spans="1:27" x14ac:dyDescent="0.3">
      <c r="A80" t="s">
        <v>157</v>
      </c>
      <c r="B80" t="s">
        <v>110</v>
      </c>
      <c r="C80" s="7">
        <f>Table1_1[[#This Row],[Number Of Products Sold]]/Table1_1[[#This Row],[Stock Levels]]</f>
        <v>189.2</v>
      </c>
      <c r="D80">
        <v>6.30688317611191</v>
      </c>
      <c r="E80">
        <v>50</v>
      </c>
      <c r="F80">
        <v>946</v>
      </c>
      <c r="G80" s="10">
        <v>1292.45841793775</v>
      </c>
      <c r="H80" t="s">
        <v>17</v>
      </c>
      <c r="I80">
        <v>5</v>
      </c>
      <c r="J80">
        <v>4</v>
      </c>
      <c r="K80">
        <v>51</v>
      </c>
      <c r="L80">
        <v>5</v>
      </c>
      <c r="M80" t="s">
        <v>7</v>
      </c>
      <c r="N80">
        <v>8.4670497708619905</v>
      </c>
      <c r="O80" t="s">
        <v>23</v>
      </c>
      <c r="P80" t="s">
        <v>9</v>
      </c>
      <c r="Q80">
        <v>25</v>
      </c>
      <c r="R80">
        <v>858</v>
      </c>
      <c r="S80">
        <v>21</v>
      </c>
      <c r="T80">
        <v>71.126514720403307</v>
      </c>
      <c r="U80" t="s">
        <v>10</v>
      </c>
      <c r="V80">
        <v>4.0968813324704501</v>
      </c>
      <c r="W80" t="s">
        <v>35</v>
      </c>
      <c r="X80" t="s">
        <v>20</v>
      </c>
      <c r="Y80">
        <v>323.59220343132199</v>
      </c>
      <c r="Z80" s="11">
        <f>Table1_1[[#This Row],[Shipping Costs]]+Table1_1[[#This Row],[Manufacturing Costs]]+Table1_1[[#This Row],[Costs]]</f>
        <v>403.18576792258727</v>
      </c>
      <c r="AA80" s="11">
        <f>Table1_1[[#This Row],[Revenue Generated]]-Table1_1[[#This Row],[COGS]]</f>
        <v>889.27265001516275</v>
      </c>
    </row>
    <row r="81" spans="1:27" x14ac:dyDescent="0.3">
      <c r="A81" t="s">
        <v>157</v>
      </c>
      <c r="B81" t="s">
        <v>111</v>
      </c>
      <c r="C81" s="7">
        <f>Table1_1[[#This Row],[Number Of Products Sold]]/Table1_1[[#This Row],[Stock Levels]]</f>
        <v>6.387096774193548</v>
      </c>
      <c r="D81">
        <v>57.057031221103202</v>
      </c>
      <c r="E81">
        <v>56</v>
      </c>
      <c r="F81">
        <v>198</v>
      </c>
      <c r="G81" s="10">
        <v>7888.7232684270803</v>
      </c>
      <c r="H81" t="s">
        <v>158</v>
      </c>
      <c r="I81">
        <v>31</v>
      </c>
      <c r="J81">
        <v>25</v>
      </c>
      <c r="K81">
        <v>20</v>
      </c>
      <c r="L81">
        <v>1</v>
      </c>
      <c r="M81" t="s">
        <v>7</v>
      </c>
      <c r="N81">
        <v>6.49632536429504</v>
      </c>
      <c r="O81" t="s">
        <v>8</v>
      </c>
      <c r="P81" t="s">
        <v>32</v>
      </c>
      <c r="Q81">
        <v>5</v>
      </c>
      <c r="R81">
        <v>228</v>
      </c>
      <c r="S81">
        <v>12</v>
      </c>
      <c r="T81">
        <v>57.870902924036201</v>
      </c>
      <c r="U81" t="s">
        <v>10</v>
      </c>
      <c r="V81">
        <v>0.16587162748060799</v>
      </c>
      <c r="W81" t="s">
        <v>19</v>
      </c>
      <c r="X81" t="s">
        <v>20</v>
      </c>
      <c r="Y81">
        <v>351.50421933503799</v>
      </c>
      <c r="Z81" s="11">
        <f>Table1_1[[#This Row],[Shipping Costs]]+Table1_1[[#This Row],[Manufacturing Costs]]+Table1_1[[#This Row],[Costs]]</f>
        <v>415.87144762336925</v>
      </c>
      <c r="AA81" s="11">
        <f>Table1_1[[#This Row],[Revenue Generated]]-Table1_1[[#This Row],[COGS]]</f>
        <v>7472.8518208037112</v>
      </c>
    </row>
    <row r="82" spans="1:27" x14ac:dyDescent="0.3">
      <c r="A82" t="s">
        <v>159</v>
      </c>
      <c r="B82" t="s">
        <v>112</v>
      </c>
      <c r="C82" s="7">
        <f>Table1_1[[#This Row],[Number Of Products Sold]]/Table1_1[[#This Row],[Stock Levels]]</f>
        <v>22.358974358974358</v>
      </c>
      <c r="D82">
        <v>91.128318350444303</v>
      </c>
      <c r="E82">
        <v>75</v>
      </c>
      <c r="F82">
        <v>872</v>
      </c>
      <c r="G82" s="10">
        <v>8651.67268298206</v>
      </c>
      <c r="H82" t="s">
        <v>17</v>
      </c>
      <c r="I82">
        <v>39</v>
      </c>
      <c r="J82">
        <v>14</v>
      </c>
      <c r="K82">
        <v>41</v>
      </c>
      <c r="L82">
        <v>2</v>
      </c>
      <c r="M82" t="s">
        <v>22</v>
      </c>
      <c r="N82">
        <v>2.8331846794189701</v>
      </c>
      <c r="O82" t="s">
        <v>8</v>
      </c>
      <c r="P82" t="s">
        <v>40</v>
      </c>
      <c r="Q82">
        <v>8</v>
      </c>
      <c r="R82">
        <v>202</v>
      </c>
      <c r="S82">
        <v>5</v>
      </c>
      <c r="T82">
        <v>76.961228023819999</v>
      </c>
      <c r="U82" t="s">
        <v>25</v>
      </c>
      <c r="V82">
        <v>2.8496621985053299</v>
      </c>
      <c r="W82" t="s">
        <v>35</v>
      </c>
      <c r="X82" t="s">
        <v>12</v>
      </c>
      <c r="Y82">
        <v>787.77985049434403</v>
      </c>
      <c r="Z82" s="11">
        <f>Table1_1[[#This Row],[Shipping Costs]]+Table1_1[[#This Row],[Manufacturing Costs]]+Table1_1[[#This Row],[Costs]]</f>
        <v>867.57426319758304</v>
      </c>
      <c r="AA82" s="11">
        <f>Table1_1[[#This Row],[Revenue Generated]]-Table1_1[[#This Row],[COGS]]</f>
        <v>7784.0984197844773</v>
      </c>
    </row>
    <row r="83" spans="1:27" x14ac:dyDescent="0.3">
      <c r="A83" t="s">
        <v>157</v>
      </c>
      <c r="B83" t="s">
        <v>113</v>
      </c>
      <c r="C83" s="7">
        <f>Table1_1[[#This Row],[Number Of Products Sold]]/Table1_1[[#This Row],[Stock Levels]]</f>
        <v>16.125</v>
      </c>
      <c r="D83">
        <v>72.819206930318202</v>
      </c>
      <c r="E83">
        <v>9</v>
      </c>
      <c r="F83">
        <v>774</v>
      </c>
      <c r="G83" s="10">
        <v>4384.4134000458598</v>
      </c>
      <c r="H83" t="s">
        <v>17</v>
      </c>
      <c r="I83">
        <v>48</v>
      </c>
      <c r="J83">
        <v>6</v>
      </c>
      <c r="K83">
        <v>8</v>
      </c>
      <c r="L83">
        <v>5</v>
      </c>
      <c r="M83" t="s">
        <v>7</v>
      </c>
      <c r="N83">
        <v>4.0662775015120403</v>
      </c>
      <c r="O83" t="s">
        <v>8</v>
      </c>
      <c r="P83" t="s">
        <v>29</v>
      </c>
      <c r="Q83">
        <v>28</v>
      </c>
      <c r="R83">
        <v>698</v>
      </c>
      <c r="S83">
        <v>1</v>
      </c>
      <c r="T83">
        <v>19.789592941903599</v>
      </c>
      <c r="U83" t="s">
        <v>10</v>
      </c>
      <c r="V83">
        <v>2.54754712154871</v>
      </c>
      <c r="W83" t="s">
        <v>26</v>
      </c>
      <c r="X83" t="s">
        <v>12</v>
      </c>
      <c r="Y83">
        <v>276.77833594679799</v>
      </c>
      <c r="Z83" s="11">
        <f>Table1_1[[#This Row],[Shipping Costs]]+Table1_1[[#This Row],[Manufacturing Costs]]+Table1_1[[#This Row],[Costs]]</f>
        <v>300.63420639021365</v>
      </c>
      <c r="AA83" s="11">
        <f>Table1_1[[#This Row],[Revenue Generated]]-Table1_1[[#This Row],[COGS]]</f>
        <v>4083.7791936556459</v>
      </c>
    </row>
    <row r="84" spans="1:27" x14ac:dyDescent="0.3">
      <c r="A84" t="s">
        <v>159</v>
      </c>
      <c r="B84" t="s">
        <v>114</v>
      </c>
      <c r="C84" s="7">
        <f>Table1_1[[#This Row],[Number Of Products Sold]]/Table1_1[[#This Row],[Stock Levels]]</f>
        <v>8</v>
      </c>
      <c r="D84">
        <v>17.034930739467899</v>
      </c>
      <c r="E84">
        <v>13</v>
      </c>
      <c r="F84">
        <v>336</v>
      </c>
      <c r="G84" s="10">
        <v>2943.3818676094502</v>
      </c>
      <c r="H84" t="s">
        <v>17</v>
      </c>
      <c r="I84">
        <v>42</v>
      </c>
      <c r="J84">
        <v>19</v>
      </c>
      <c r="K84">
        <v>72</v>
      </c>
      <c r="L84">
        <v>1</v>
      </c>
      <c r="M84" t="s">
        <v>15</v>
      </c>
      <c r="N84">
        <v>4.7081818735419301</v>
      </c>
      <c r="O84" t="s">
        <v>39</v>
      </c>
      <c r="P84" t="s">
        <v>9</v>
      </c>
      <c r="Q84">
        <v>6</v>
      </c>
      <c r="R84">
        <v>955</v>
      </c>
      <c r="S84">
        <v>26</v>
      </c>
      <c r="T84">
        <v>4.4652784349432402</v>
      </c>
      <c r="U84" t="s">
        <v>10</v>
      </c>
      <c r="V84">
        <v>4.1378770486223502</v>
      </c>
      <c r="W84" t="s">
        <v>11</v>
      </c>
      <c r="X84" t="s">
        <v>20</v>
      </c>
      <c r="Y84">
        <v>589.97855562804</v>
      </c>
      <c r="Z84" s="11">
        <f>Table1_1[[#This Row],[Shipping Costs]]+Table1_1[[#This Row],[Manufacturing Costs]]+Table1_1[[#This Row],[Costs]]</f>
        <v>599.15201593652512</v>
      </c>
      <c r="AA84" s="11">
        <f>Table1_1[[#This Row],[Revenue Generated]]-Table1_1[[#This Row],[COGS]]</f>
        <v>2344.2298516729252</v>
      </c>
    </row>
    <row r="85" spans="1:27" x14ac:dyDescent="0.3">
      <c r="A85" t="s">
        <v>157</v>
      </c>
      <c r="B85" t="s">
        <v>115</v>
      </c>
      <c r="C85" s="7">
        <f>Table1_1[[#This Row],[Number Of Products Sold]]/Table1_1[[#This Row],[Stock Levels]]</f>
        <v>10.199999999999999</v>
      </c>
      <c r="D85">
        <v>68.911246211606297</v>
      </c>
      <c r="E85">
        <v>82</v>
      </c>
      <c r="F85">
        <v>663</v>
      </c>
      <c r="G85" s="10">
        <v>2411.7546321104901</v>
      </c>
      <c r="H85" t="s">
        <v>17</v>
      </c>
      <c r="I85">
        <v>65</v>
      </c>
      <c r="J85">
        <v>24</v>
      </c>
      <c r="K85">
        <v>7</v>
      </c>
      <c r="L85">
        <v>8</v>
      </c>
      <c r="M85" t="s">
        <v>7</v>
      </c>
      <c r="N85">
        <v>4.94983957799694</v>
      </c>
      <c r="O85" t="s">
        <v>18</v>
      </c>
      <c r="P85" t="s">
        <v>32</v>
      </c>
      <c r="Q85">
        <v>20</v>
      </c>
      <c r="R85">
        <v>443</v>
      </c>
      <c r="S85">
        <v>5</v>
      </c>
      <c r="T85">
        <v>97.730593800533001</v>
      </c>
      <c r="U85" t="s">
        <v>25</v>
      </c>
      <c r="V85">
        <v>0.77300613406724705</v>
      </c>
      <c r="W85" t="s">
        <v>11</v>
      </c>
      <c r="X85" t="s">
        <v>27</v>
      </c>
      <c r="Y85">
        <v>682.97101822609295</v>
      </c>
      <c r="Z85" s="11">
        <f>Table1_1[[#This Row],[Shipping Costs]]+Table1_1[[#This Row],[Manufacturing Costs]]+Table1_1[[#This Row],[Costs]]</f>
        <v>785.65145160462293</v>
      </c>
      <c r="AA85" s="11">
        <f>Table1_1[[#This Row],[Revenue Generated]]-Table1_1[[#This Row],[COGS]]</f>
        <v>1626.1031805058672</v>
      </c>
    </row>
    <row r="86" spans="1:27" x14ac:dyDescent="0.3">
      <c r="A86" t="s">
        <v>157</v>
      </c>
      <c r="B86" t="s">
        <v>116</v>
      </c>
      <c r="C86" s="7">
        <f>Table1_1[[#This Row],[Number Of Products Sold]]/Table1_1[[#This Row],[Stock Levels]]</f>
        <v>8.4657534246575334</v>
      </c>
      <c r="D86">
        <v>89.104367292102197</v>
      </c>
      <c r="E86">
        <v>99</v>
      </c>
      <c r="F86">
        <v>618</v>
      </c>
      <c r="G86" s="10">
        <v>2048.2900998487098</v>
      </c>
      <c r="H86" t="s">
        <v>17</v>
      </c>
      <c r="I86">
        <v>73</v>
      </c>
      <c r="J86">
        <v>26</v>
      </c>
      <c r="K86">
        <v>80</v>
      </c>
      <c r="L86">
        <v>10</v>
      </c>
      <c r="M86" t="s">
        <v>15</v>
      </c>
      <c r="N86">
        <v>8.3816156249226292</v>
      </c>
      <c r="O86" t="s">
        <v>23</v>
      </c>
      <c r="P86" t="s">
        <v>40</v>
      </c>
      <c r="Q86">
        <v>24</v>
      </c>
      <c r="R86">
        <v>589</v>
      </c>
      <c r="S86">
        <v>22</v>
      </c>
      <c r="T86">
        <v>33.808636513209002</v>
      </c>
      <c r="U86" t="s">
        <v>42</v>
      </c>
      <c r="V86">
        <v>4.8434565771180402</v>
      </c>
      <c r="W86" t="s">
        <v>19</v>
      </c>
      <c r="X86" t="s">
        <v>12</v>
      </c>
      <c r="Y86">
        <v>465.45700596368698</v>
      </c>
      <c r="Z86" s="11">
        <f>Table1_1[[#This Row],[Shipping Costs]]+Table1_1[[#This Row],[Manufacturing Costs]]+Table1_1[[#This Row],[Costs]]</f>
        <v>507.64725810181864</v>
      </c>
      <c r="AA86" s="11">
        <f>Table1_1[[#This Row],[Revenue Generated]]-Table1_1[[#This Row],[COGS]]</f>
        <v>1540.6428417468912</v>
      </c>
    </row>
    <row r="87" spans="1:27" x14ac:dyDescent="0.3">
      <c r="A87" t="s">
        <v>160</v>
      </c>
      <c r="B87" t="s">
        <v>117</v>
      </c>
      <c r="C87" s="7">
        <f>Table1_1[[#This Row],[Number Of Products Sold]]/Table1_1[[#This Row],[Stock Levels]]</f>
        <v>1.6666666666666667</v>
      </c>
      <c r="D87">
        <v>76.962994415193805</v>
      </c>
      <c r="E87">
        <v>83</v>
      </c>
      <c r="F87">
        <v>25</v>
      </c>
      <c r="G87" s="10">
        <v>8684.6130592538502</v>
      </c>
      <c r="H87" t="s">
        <v>14</v>
      </c>
      <c r="I87">
        <v>15</v>
      </c>
      <c r="J87">
        <v>18</v>
      </c>
      <c r="K87">
        <v>66</v>
      </c>
      <c r="L87">
        <v>2</v>
      </c>
      <c r="M87" t="s">
        <v>22</v>
      </c>
      <c r="N87">
        <v>8.2491687048717193</v>
      </c>
      <c r="O87" t="s">
        <v>23</v>
      </c>
      <c r="P87" t="s">
        <v>40</v>
      </c>
      <c r="Q87">
        <v>4</v>
      </c>
      <c r="R87">
        <v>211</v>
      </c>
      <c r="S87">
        <v>2</v>
      </c>
      <c r="T87">
        <v>69.929345518672307</v>
      </c>
      <c r="U87" t="s">
        <v>25</v>
      </c>
      <c r="V87">
        <v>1.3744289997457499</v>
      </c>
      <c r="W87" t="s">
        <v>11</v>
      </c>
      <c r="X87" t="s">
        <v>12</v>
      </c>
      <c r="Y87">
        <v>842.68683000464102</v>
      </c>
      <c r="Z87" s="11">
        <f>Table1_1[[#This Row],[Shipping Costs]]+Table1_1[[#This Row],[Manufacturing Costs]]+Table1_1[[#This Row],[Costs]]</f>
        <v>920.86534422818499</v>
      </c>
      <c r="AA87" s="11">
        <f>Table1_1[[#This Row],[Revenue Generated]]-Table1_1[[#This Row],[COGS]]</f>
        <v>7763.7477150256655</v>
      </c>
    </row>
    <row r="88" spans="1:27" x14ac:dyDescent="0.3">
      <c r="A88" t="s">
        <v>159</v>
      </c>
      <c r="B88" t="s">
        <v>118</v>
      </c>
      <c r="C88" s="7">
        <f>Table1_1[[#This Row],[Number Of Products Sold]]/Table1_1[[#This Row],[Stock Levels]]</f>
        <v>6.96875</v>
      </c>
      <c r="D88">
        <v>19.9981769404042</v>
      </c>
      <c r="E88">
        <v>18</v>
      </c>
      <c r="F88">
        <v>223</v>
      </c>
      <c r="G88" s="10">
        <v>1229.59102856498</v>
      </c>
      <c r="H88" t="s">
        <v>17</v>
      </c>
      <c r="I88">
        <v>32</v>
      </c>
      <c r="J88">
        <v>14</v>
      </c>
      <c r="K88">
        <v>22</v>
      </c>
      <c r="L88">
        <v>6</v>
      </c>
      <c r="M88" t="s">
        <v>7</v>
      </c>
      <c r="N88">
        <v>1.4543053101535499</v>
      </c>
      <c r="O88" t="s">
        <v>18</v>
      </c>
      <c r="P88" t="s">
        <v>9</v>
      </c>
      <c r="Q88">
        <v>4</v>
      </c>
      <c r="R88">
        <v>569</v>
      </c>
      <c r="S88">
        <v>18</v>
      </c>
      <c r="T88">
        <v>74.608969995194599</v>
      </c>
      <c r="U88" t="s">
        <v>42</v>
      </c>
      <c r="V88">
        <v>2.0515129307662399</v>
      </c>
      <c r="W88" t="s">
        <v>26</v>
      </c>
      <c r="X88" t="s">
        <v>27</v>
      </c>
      <c r="Y88">
        <v>264.25488983586598</v>
      </c>
      <c r="Z88" s="11">
        <f>Table1_1[[#This Row],[Shipping Costs]]+Table1_1[[#This Row],[Manufacturing Costs]]+Table1_1[[#This Row],[Costs]]</f>
        <v>340.31816514121414</v>
      </c>
      <c r="AA88" s="11">
        <f>Table1_1[[#This Row],[Revenue Generated]]-Table1_1[[#This Row],[COGS]]</f>
        <v>889.27286342376578</v>
      </c>
    </row>
    <row r="89" spans="1:27" x14ac:dyDescent="0.3">
      <c r="A89" t="s">
        <v>157</v>
      </c>
      <c r="B89" t="s">
        <v>119</v>
      </c>
      <c r="C89" s="7">
        <f>Table1_1[[#This Row],[Number Of Products Sold]]/Table1_1[[#This Row],[Stock Levels]]</f>
        <v>15.8</v>
      </c>
      <c r="D89">
        <v>80.414036650355698</v>
      </c>
      <c r="E89">
        <v>24</v>
      </c>
      <c r="F89">
        <v>79</v>
      </c>
      <c r="G89" s="10">
        <v>5133.8467010866898</v>
      </c>
      <c r="H89" t="s">
        <v>34</v>
      </c>
      <c r="I89">
        <v>5</v>
      </c>
      <c r="J89">
        <v>7</v>
      </c>
      <c r="K89">
        <v>55</v>
      </c>
      <c r="L89">
        <v>10</v>
      </c>
      <c r="M89" t="s">
        <v>15</v>
      </c>
      <c r="N89">
        <v>6.5758037975485299</v>
      </c>
      <c r="O89" t="s">
        <v>8</v>
      </c>
      <c r="P89" t="s">
        <v>40</v>
      </c>
      <c r="Q89">
        <v>27</v>
      </c>
      <c r="R89">
        <v>523</v>
      </c>
      <c r="S89">
        <v>17</v>
      </c>
      <c r="T89">
        <v>28.696996824143099</v>
      </c>
      <c r="U89" t="s">
        <v>25</v>
      </c>
      <c r="V89">
        <v>3.6937377878392699</v>
      </c>
      <c r="W89" t="s">
        <v>35</v>
      </c>
      <c r="X89" t="s">
        <v>12</v>
      </c>
      <c r="Y89">
        <v>879.35921773492396</v>
      </c>
      <c r="Z89" s="11">
        <f>Table1_1[[#This Row],[Shipping Costs]]+Table1_1[[#This Row],[Manufacturing Costs]]+Table1_1[[#This Row],[Costs]]</f>
        <v>914.63201835661562</v>
      </c>
      <c r="AA89" s="11">
        <f>Table1_1[[#This Row],[Revenue Generated]]-Table1_1[[#This Row],[COGS]]</f>
        <v>4219.2146827300739</v>
      </c>
    </row>
    <row r="90" spans="1:27" x14ac:dyDescent="0.3">
      <c r="A90" t="s">
        <v>160</v>
      </c>
      <c r="B90" t="s">
        <v>120</v>
      </c>
      <c r="C90" s="7">
        <f>Table1_1[[#This Row],[Number Of Products Sold]]/Table1_1[[#This Row],[Stock Levels]]</f>
        <v>12.283333333333333</v>
      </c>
      <c r="D90">
        <v>75.270406975724995</v>
      </c>
      <c r="E90">
        <v>58</v>
      </c>
      <c r="F90">
        <v>737</v>
      </c>
      <c r="G90" s="10">
        <v>9444.7420330629793</v>
      </c>
      <c r="H90" t="s">
        <v>34</v>
      </c>
      <c r="I90">
        <v>60</v>
      </c>
      <c r="J90">
        <v>18</v>
      </c>
      <c r="K90">
        <v>85</v>
      </c>
      <c r="L90">
        <v>7</v>
      </c>
      <c r="M90" t="s">
        <v>15</v>
      </c>
      <c r="N90">
        <v>3.8012531329310701</v>
      </c>
      <c r="O90" t="s">
        <v>39</v>
      </c>
      <c r="P90" t="s">
        <v>9</v>
      </c>
      <c r="Q90">
        <v>21</v>
      </c>
      <c r="R90">
        <v>953</v>
      </c>
      <c r="S90">
        <v>11</v>
      </c>
      <c r="T90">
        <v>68.1849190570411</v>
      </c>
      <c r="U90" t="s">
        <v>10</v>
      </c>
      <c r="V90">
        <v>0.722204401882931</v>
      </c>
      <c r="W90" t="s">
        <v>35</v>
      </c>
      <c r="X90" t="s">
        <v>27</v>
      </c>
      <c r="Y90">
        <v>103.916247960704</v>
      </c>
      <c r="Z90" s="11">
        <f>Table1_1[[#This Row],[Shipping Costs]]+Table1_1[[#This Row],[Manufacturing Costs]]+Table1_1[[#This Row],[Costs]]</f>
        <v>175.90242015067616</v>
      </c>
      <c r="AA90" s="11">
        <f>Table1_1[[#This Row],[Revenue Generated]]-Table1_1[[#This Row],[COGS]]</f>
        <v>9268.839612912303</v>
      </c>
    </row>
    <row r="91" spans="1:27" x14ac:dyDescent="0.3">
      <c r="A91" t="s">
        <v>160</v>
      </c>
      <c r="B91" t="s">
        <v>121</v>
      </c>
      <c r="C91" s="7">
        <f>Table1_1[[#This Row],[Number Of Products Sold]]/Table1_1[[#This Row],[Stock Levels]]</f>
        <v>1.4888888888888889</v>
      </c>
      <c r="D91">
        <v>97.760085581938597</v>
      </c>
      <c r="E91">
        <v>10</v>
      </c>
      <c r="F91">
        <v>134</v>
      </c>
      <c r="G91" s="10">
        <v>5924.6825668532301</v>
      </c>
      <c r="H91" t="s">
        <v>17</v>
      </c>
      <c r="I91">
        <v>90</v>
      </c>
      <c r="J91">
        <v>1</v>
      </c>
      <c r="K91">
        <v>27</v>
      </c>
      <c r="L91">
        <v>8</v>
      </c>
      <c r="M91" t="s">
        <v>7</v>
      </c>
      <c r="N91">
        <v>9.9298162452772498</v>
      </c>
      <c r="O91" t="s">
        <v>18</v>
      </c>
      <c r="P91" t="s">
        <v>24</v>
      </c>
      <c r="Q91">
        <v>23</v>
      </c>
      <c r="R91">
        <v>370</v>
      </c>
      <c r="S91">
        <v>11</v>
      </c>
      <c r="T91">
        <v>46.603873381644398</v>
      </c>
      <c r="U91" t="s">
        <v>10</v>
      </c>
      <c r="V91">
        <v>1.9076657339590699</v>
      </c>
      <c r="W91" t="s">
        <v>26</v>
      </c>
      <c r="X91" t="s">
        <v>12</v>
      </c>
      <c r="Y91">
        <v>517.49997392906005</v>
      </c>
      <c r="Z91" s="11">
        <f>Table1_1[[#This Row],[Shipping Costs]]+Table1_1[[#This Row],[Manufacturing Costs]]+Table1_1[[#This Row],[Costs]]</f>
        <v>574.03366355598166</v>
      </c>
      <c r="AA91" s="11">
        <f>Table1_1[[#This Row],[Revenue Generated]]-Table1_1[[#This Row],[COGS]]</f>
        <v>5350.6489032972486</v>
      </c>
    </row>
    <row r="92" spans="1:27" x14ac:dyDescent="0.3">
      <c r="A92" t="s">
        <v>159</v>
      </c>
      <c r="B92" t="s">
        <v>122</v>
      </c>
      <c r="C92" s="7">
        <f>Table1_1[[#This Row],[Number Of Products Sold]]/Table1_1[[#This Row],[Stock Levels]]</f>
        <v>4.8484848484848486</v>
      </c>
      <c r="D92">
        <v>13.881913501359101</v>
      </c>
      <c r="E92">
        <v>56</v>
      </c>
      <c r="F92">
        <v>320</v>
      </c>
      <c r="G92" s="10">
        <v>9592.6335702803099</v>
      </c>
      <c r="H92" t="s">
        <v>158</v>
      </c>
      <c r="I92">
        <v>66</v>
      </c>
      <c r="J92">
        <v>18</v>
      </c>
      <c r="K92">
        <v>96</v>
      </c>
      <c r="L92">
        <v>7</v>
      </c>
      <c r="M92" t="s">
        <v>7</v>
      </c>
      <c r="N92">
        <v>7.6744307081126903</v>
      </c>
      <c r="O92" t="s">
        <v>8</v>
      </c>
      <c r="P92" t="s">
        <v>32</v>
      </c>
      <c r="Q92">
        <v>8</v>
      </c>
      <c r="R92">
        <v>585</v>
      </c>
      <c r="S92">
        <v>8</v>
      </c>
      <c r="T92">
        <v>85.675963335797903</v>
      </c>
      <c r="U92" t="s">
        <v>42</v>
      </c>
      <c r="V92">
        <v>1.2193822244013801</v>
      </c>
      <c r="W92" t="s">
        <v>26</v>
      </c>
      <c r="X92" t="s">
        <v>12</v>
      </c>
      <c r="Y92">
        <v>990.07847250581096</v>
      </c>
      <c r="Z92" s="11">
        <f>Table1_1[[#This Row],[Shipping Costs]]+Table1_1[[#This Row],[Manufacturing Costs]]+Table1_1[[#This Row],[Costs]]</f>
        <v>1083.4288665497215</v>
      </c>
      <c r="AA92" s="11">
        <f>Table1_1[[#This Row],[Revenue Generated]]-Table1_1[[#This Row],[COGS]]</f>
        <v>8509.2047037305892</v>
      </c>
    </row>
    <row r="93" spans="1:27" x14ac:dyDescent="0.3">
      <c r="A93" t="s">
        <v>160</v>
      </c>
      <c r="B93" t="s">
        <v>123</v>
      </c>
      <c r="C93" s="7">
        <f>Table1_1[[#This Row],[Number Of Products Sold]]/Table1_1[[#This Row],[Stock Levels]]</f>
        <v>9.3469387755102034</v>
      </c>
      <c r="D93">
        <v>62.111965463961702</v>
      </c>
      <c r="E93">
        <v>90</v>
      </c>
      <c r="F93">
        <v>916</v>
      </c>
      <c r="G93" s="10">
        <v>1935.20679350759</v>
      </c>
      <c r="H93" t="s">
        <v>34</v>
      </c>
      <c r="I93">
        <v>98</v>
      </c>
      <c r="J93">
        <v>22</v>
      </c>
      <c r="K93">
        <v>85</v>
      </c>
      <c r="L93">
        <v>7</v>
      </c>
      <c r="M93" t="s">
        <v>7</v>
      </c>
      <c r="N93">
        <v>7.4715140844011403</v>
      </c>
      <c r="O93" t="s">
        <v>31</v>
      </c>
      <c r="P93" t="s">
        <v>29</v>
      </c>
      <c r="Q93">
        <v>5</v>
      </c>
      <c r="R93">
        <v>207</v>
      </c>
      <c r="S93">
        <v>28</v>
      </c>
      <c r="T93">
        <v>39.772882502339897</v>
      </c>
      <c r="U93" t="s">
        <v>10</v>
      </c>
      <c r="V93">
        <v>0.62600185820939402</v>
      </c>
      <c r="W93" t="s">
        <v>26</v>
      </c>
      <c r="X93" t="s">
        <v>12</v>
      </c>
      <c r="Y93">
        <v>996.77831495062298</v>
      </c>
      <c r="Z93" s="11">
        <f>Table1_1[[#This Row],[Shipping Costs]]+Table1_1[[#This Row],[Manufacturing Costs]]+Table1_1[[#This Row],[Costs]]</f>
        <v>1044.0227115373641</v>
      </c>
      <c r="AA93" s="11">
        <f>Table1_1[[#This Row],[Revenue Generated]]-Table1_1[[#This Row],[COGS]]</f>
        <v>891.18408197022586</v>
      </c>
    </row>
    <row r="94" spans="1:27" x14ac:dyDescent="0.3">
      <c r="A94" t="s">
        <v>160</v>
      </c>
      <c r="B94" t="s">
        <v>124</v>
      </c>
      <c r="C94" s="7">
        <f>Table1_1[[#This Row],[Number Of Products Sold]]/Table1_1[[#This Row],[Stock Levels]]</f>
        <v>3.0666666666666669</v>
      </c>
      <c r="D94">
        <v>47.714233075820196</v>
      </c>
      <c r="E94">
        <v>44</v>
      </c>
      <c r="F94">
        <v>276</v>
      </c>
      <c r="G94" s="10">
        <v>2100.1297546259302</v>
      </c>
      <c r="H94" t="s">
        <v>34</v>
      </c>
      <c r="I94">
        <v>90</v>
      </c>
      <c r="J94">
        <v>25</v>
      </c>
      <c r="K94">
        <v>10</v>
      </c>
      <c r="L94">
        <v>8</v>
      </c>
      <c r="M94" t="s">
        <v>7</v>
      </c>
      <c r="N94">
        <v>4.4695000261236002</v>
      </c>
      <c r="O94" t="s">
        <v>39</v>
      </c>
      <c r="P94" t="s">
        <v>9</v>
      </c>
      <c r="Q94">
        <v>4</v>
      </c>
      <c r="R94">
        <v>671</v>
      </c>
      <c r="S94">
        <v>29</v>
      </c>
      <c r="T94">
        <v>62.612690395614301</v>
      </c>
      <c r="U94" t="s">
        <v>42</v>
      </c>
      <c r="V94">
        <v>0.33343182522473902</v>
      </c>
      <c r="W94" t="s">
        <v>26</v>
      </c>
      <c r="X94" t="s">
        <v>12</v>
      </c>
      <c r="Y94">
        <v>230.092782536762</v>
      </c>
      <c r="Z94" s="11">
        <f>Table1_1[[#This Row],[Shipping Costs]]+Table1_1[[#This Row],[Manufacturing Costs]]+Table1_1[[#This Row],[Costs]]</f>
        <v>297.17497295849989</v>
      </c>
      <c r="AA94" s="11">
        <f>Table1_1[[#This Row],[Revenue Generated]]-Table1_1[[#This Row],[COGS]]</f>
        <v>1802.9547816674303</v>
      </c>
    </row>
    <row r="95" spans="1:27" x14ac:dyDescent="0.3">
      <c r="A95" t="s">
        <v>157</v>
      </c>
      <c r="B95" t="s">
        <v>125</v>
      </c>
      <c r="C95" s="7">
        <f>Table1_1[[#This Row],[Number Of Products Sold]]/Table1_1[[#This Row],[Stock Levels]]</f>
        <v>1.8095238095238095</v>
      </c>
      <c r="D95">
        <v>69.290831002905406</v>
      </c>
      <c r="E95">
        <v>88</v>
      </c>
      <c r="F95">
        <v>114</v>
      </c>
      <c r="G95" s="10">
        <v>4531.4021336919004</v>
      </c>
      <c r="H95" t="s">
        <v>17</v>
      </c>
      <c r="I95">
        <v>63</v>
      </c>
      <c r="J95">
        <v>17</v>
      </c>
      <c r="K95">
        <v>66</v>
      </c>
      <c r="L95">
        <v>1</v>
      </c>
      <c r="M95" t="s">
        <v>22</v>
      </c>
      <c r="N95">
        <v>7.00643205900439</v>
      </c>
      <c r="O95" t="s">
        <v>31</v>
      </c>
      <c r="P95" t="s">
        <v>40</v>
      </c>
      <c r="Q95">
        <v>21</v>
      </c>
      <c r="R95">
        <v>824</v>
      </c>
      <c r="S95">
        <v>20</v>
      </c>
      <c r="T95">
        <v>35.633652343343797</v>
      </c>
      <c r="U95" t="s">
        <v>25</v>
      </c>
      <c r="V95">
        <v>4.1657817954241398</v>
      </c>
      <c r="W95" t="s">
        <v>19</v>
      </c>
      <c r="X95" t="s">
        <v>27</v>
      </c>
      <c r="Y95">
        <v>823.52384588815505</v>
      </c>
      <c r="Z95" s="11">
        <f>Table1_1[[#This Row],[Shipping Costs]]+Table1_1[[#This Row],[Manufacturing Costs]]+Table1_1[[#This Row],[Costs]]</f>
        <v>866.16393029050323</v>
      </c>
      <c r="AA95" s="11">
        <f>Table1_1[[#This Row],[Revenue Generated]]-Table1_1[[#This Row],[COGS]]</f>
        <v>3665.2382034013972</v>
      </c>
    </row>
    <row r="96" spans="1:27" x14ac:dyDescent="0.3">
      <c r="A96" t="s">
        <v>160</v>
      </c>
      <c r="B96" t="s">
        <v>126</v>
      </c>
      <c r="C96" s="7">
        <f>Table1_1[[#This Row],[Number Of Products Sold]]/Table1_1[[#This Row],[Stock Levels]]</f>
        <v>12.818181818181818</v>
      </c>
      <c r="D96">
        <v>3.0376887246314102</v>
      </c>
      <c r="E96">
        <v>97</v>
      </c>
      <c r="F96">
        <v>987</v>
      </c>
      <c r="G96" s="10">
        <v>7888.3565466618702</v>
      </c>
      <c r="H96" t="s">
        <v>17</v>
      </c>
      <c r="I96">
        <v>77</v>
      </c>
      <c r="J96">
        <v>26</v>
      </c>
      <c r="K96">
        <v>72</v>
      </c>
      <c r="L96">
        <v>9</v>
      </c>
      <c r="M96" t="s">
        <v>7</v>
      </c>
      <c r="N96">
        <v>6.9429459420325799</v>
      </c>
      <c r="O96" t="s">
        <v>39</v>
      </c>
      <c r="P96" t="s">
        <v>29</v>
      </c>
      <c r="Q96">
        <v>12</v>
      </c>
      <c r="R96">
        <v>908</v>
      </c>
      <c r="S96">
        <v>14</v>
      </c>
      <c r="T96">
        <v>60.387378614862101</v>
      </c>
      <c r="U96" t="s">
        <v>42</v>
      </c>
      <c r="V96">
        <v>1.4636074984727701</v>
      </c>
      <c r="W96" t="s">
        <v>26</v>
      </c>
      <c r="X96" t="s">
        <v>12</v>
      </c>
      <c r="Y96">
        <v>846.66525698669398</v>
      </c>
      <c r="Z96" s="11">
        <f>Table1_1[[#This Row],[Shipping Costs]]+Table1_1[[#This Row],[Manufacturing Costs]]+Table1_1[[#This Row],[Costs]]</f>
        <v>913.99558154358863</v>
      </c>
      <c r="AA96" s="11">
        <f>Table1_1[[#This Row],[Revenue Generated]]-Table1_1[[#This Row],[COGS]]</f>
        <v>6974.3609651182815</v>
      </c>
    </row>
    <row r="97" spans="1:27" x14ac:dyDescent="0.3">
      <c r="A97" t="s">
        <v>157</v>
      </c>
      <c r="B97" t="s">
        <v>127</v>
      </c>
      <c r="C97" s="7">
        <f>Table1_1[[#This Row],[Number Of Products Sold]]/Table1_1[[#This Row],[Stock Levels]]</f>
        <v>44.8</v>
      </c>
      <c r="D97">
        <v>77.903927219447695</v>
      </c>
      <c r="E97">
        <v>65</v>
      </c>
      <c r="F97">
        <v>672</v>
      </c>
      <c r="G97" s="10">
        <v>7386.3639440486604</v>
      </c>
      <c r="H97" t="s">
        <v>17</v>
      </c>
      <c r="I97">
        <v>15</v>
      </c>
      <c r="J97">
        <v>14</v>
      </c>
      <c r="K97">
        <v>26</v>
      </c>
      <c r="L97">
        <v>9</v>
      </c>
      <c r="M97" t="s">
        <v>7</v>
      </c>
      <c r="N97">
        <v>8.6303388696027508</v>
      </c>
      <c r="O97" t="s">
        <v>31</v>
      </c>
      <c r="P97" t="s">
        <v>9</v>
      </c>
      <c r="Q97">
        <v>18</v>
      </c>
      <c r="R97">
        <v>450</v>
      </c>
      <c r="S97">
        <v>26</v>
      </c>
      <c r="T97">
        <v>58.890685768589897</v>
      </c>
      <c r="U97" t="s">
        <v>10</v>
      </c>
      <c r="V97">
        <v>1.21088212958506</v>
      </c>
      <c r="W97" t="s">
        <v>19</v>
      </c>
      <c r="X97" t="s">
        <v>27</v>
      </c>
      <c r="Y97">
        <v>778.86424137664699</v>
      </c>
      <c r="Z97" s="11">
        <f>Table1_1[[#This Row],[Shipping Costs]]+Table1_1[[#This Row],[Manufacturing Costs]]+Table1_1[[#This Row],[Costs]]</f>
        <v>846.38526601483966</v>
      </c>
      <c r="AA97" s="11">
        <f>Table1_1[[#This Row],[Revenue Generated]]-Table1_1[[#This Row],[COGS]]</f>
        <v>6539.9786780338209</v>
      </c>
    </row>
    <row r="98" spans="1:27" x14ac:dyDescent="0.3">
      <c r="A98" t="s">
        <v>160</v>
      </c>
      <c r="B98" t="s">
        <v>128</v>
      </c>
      <c r="C98" s="7">
        <f>Table1_1[[#This Row],[Number Of Products Sold]]/Table1_1[[#This Row],[Stock Levels]]</f>
        <v>4.8358208955223878</v>
      </c>
      <c r="D98">
        <v>24.423131420373299</v>
      </c>
      <c r="E98">
        <v>29</v>
      </c>
      <c r="F98">
        <v>324</v>
      </c>
      <c r="G98" s="10">
        <v>7698.4247656321104</v>
      </c>
      <c r="H98" t="s">
        <v>158</v>
      </c>
      <c r="I98">
        <v>67</v>
      </c>
      <c r="J98">
        <v>2</v>
      </c>
      <c r="K98">
        <v>32</v>
      </c>
      <c r="L98">
        <v>3</v>
      </c>
      <c r="M98" t="s">
        <v>22</v>
      </c>
      <c r="N98">
        <v>5.3528780439967996</v>
      </c>
      <c r="O98" t="s">
        <v>8</v>
      </c>
      <c r="P98" t="s">
        <v>9</v>
      </c>
      <c r="Q98">
        <v>28</v>
      </c>
      <c r="R98">
        <v>648</v>
      </c>
      <c r="S98">
        <v>28</v>
      </c>
      <c r="T98">
        <v>17.803756331391199</v>
      </c>
      <c r="U98" t="s">
        <v>10</v>
      </c>
      <c r="V98">
        <v>3.8720476814821301</v>
      </c>
      <c r="W98" t="s">
        <v>11</v>
      </c>
      <c r="X98" t="s">
        <v>27</v>
      </c>
      <c r="Y98">
        <v>188.74214114905601</v>
      </c>
      <c r="Z98" s="11">
        <f>Table1_1[[#This Row],[Shipping Costs]]+Table1_1[[#This Row],[Manufacturing Costs]]+Table1_1[[#This Row],[Costs]]</f>
        <v>211.89877552444401</v>
      </c>
      <c r="AA98" s="11">
        <f>Table1_1[[#This Row],[Revenue Generated]]-Table1_1[[#This Row],[COGS]]</f>
        <v>7486.5259901076661</v>
      </c>
    </row>
    <row r="99" spans="1:27" x14ac:dyDescent="0.3">
      <c r="A99" t="s">
        <v>157</v>
      </c>
      <c r="B99" t="s">
        <v>129</v>
      </c>
      <c r="C99" s="7">
        <f>Table1_1[[#This Row],[Number Of Products Sold]]/Table1_1[[#This Row],[Stock Levels]]</f>
        <v>1.3478260869565217</v>
      </c>
      <c r="D99">
        <v>3.5261112591434101</v>
      </c>
      <c r="E99">
        <v>56</v>
      </c>
      <c r="F99">
        <v>62</v>
      </c>
      <c r="G99" s="10">
        <v>4370.9165799845296</v>
      </c>
      <c r="H99" t="s">
        <v>34</v>
      </c>
      <c r="I99">
        <v>46</v>
      </c>
      <c r="J99">
        <v>19</v>
      </c>
      <c r="K99">
        <v>4</v>
      </c>
      <c r="L99">
        <v>9</v>
      </c>
      <c r="M99" t="s">
        <v>15</v>
      </c>
      <c r="N99">
        <v>7.9048456112096703</v>
      </c>
      <c r="O99" t="s">
        <v>31</v>
      </c>
      <c r="P99" t="s">
        <v>9</v>
      </c>
      <c r="Q99">
        <v>10</v>
      </c>
      <c r="R99">
        <v>535</v>
      </c>
      <c r="S99">
        <v>13</v>
      </c>
      <c r="T99">
        <v>65.765155926367399</v>
      </c>
      <c r="U99" t="s">
        <v>25</v>
      </c>
      <c r="V99">
        <v>3.3762378347179798</v>
      </c>
      <c r="W99" t="s">
        <v>11</v>
      </c>
      <c r="X99" t="s">
        <v>27</v>
      </c>
      <c r="Y99">
        <v>540.13242286796697</v>
      </c>
      <c r="Z99" s="11">
        <f>Table1_1[[#This Row],[Shipping Costs]]+Table1_1[[#This Row],[Manufacturing Costs]]+Table1_1[[#This Row],[Costs]]</f>
        <v>613.802424405544</v>
      </c>
      <c r="AA99" s="11">
        <f>Table1_1[[#This Row],[Revenue Generated]]-Table1_1[[#This Row],[COGS]]</f>
        <v>3757.1141555789854</v>
      </c>
    </row>
    <row r="100" spans="1:27" x14ac:dyDescent="0.3">
      <c r="A100" t="s">
        <v>159</v>
      </c>
      <c r="B100" t="s">
        <v>130</v>
      </c>
      <c r="C100" s="7">
        <f>Table1_1[[#This Row],[Number Of Products Sold]]/Table1_1[[#This Row],[Stock Levels]]</f>
        <v>17.226415094339622</v>
      </c>
      <c r="D100">
        <v>19.754604866878601</v>
      </c>
      <c r="E100">
        <v>43</v>
      </c>
      <c r="F100">
        <v>913</v>
      </c>
      <c r="G100" s="10">
        <v>8525.9525596835192</v>
      </c>
      <c r="H100" t="s">
        <v>14</v>
      </c>
      <c r="I100">
        <v>53</v>
      </c>
      <c r="J100">
        <v>1</v>
      </c>
      <c r="K100">
        <v>27</v>
      </c>
      <c r="L100">
        <v>7</v>
      </c>
      <c r="M100" t="s">
        <v>7</v>
      </c>
      <c r="N100">
        <v>1.4098010951380699</v>
      </c>
      <c r="O100" t="s">
        <v>23</v>
      </c>
      <c r="P100" t="s">
        <v>40</v>
      </c>
      <c r="Q100">
        <v>28</v>
      </c>
      <c r="R100">
        <v>581</v>
      </c>
      <c r="S100">
        <v>9</v>
      </c>
      <c r="T100">
        <v>5.6046908643717801</v>
      </c>
      <c r="U100" t="s">
        <v>10</v>
      </c>
      <c r="V100">
        <v>2.9081221693512598</v>
      </c>
      <c r="W100" t="s">
        <v>26</v>
      </c>
      <c r="X100" t="s">
        <v>27</v>
      </c>
      <c r="Y100">
        <v>882.19886354704101</v>
      </c>
      <c r="Z100" s="11">
        <f>Table1_1[[#This Row],[Shipping Costs]]+Table1_1[[#This Row],[Manufacturing Costs]]+Table1_1[[#This Row],[Costs]]</f>
        <v>889.2133555065509</v>
      </c>
      <c r="AA100" s="11">
        <f>Table1_1[[#This Row],[Revenue Generated]]-Table1_1[[#This Row],[COGS]]</f>
        <v>7636.7392041769681</v>
      </c>
    </row>
    <row r="101" spans="1:27" x14ac:dyDescent="0.3">
      <c r="A101" t="s">
        <v>157</v>
      </c>
      <c r="B101" t="s">
        <v>131</v>
      </c>
      <c r="C101" s="7">
        <f>Table1_1[[#This Row],[Number Of Products Sold]]/Table1_1[[#This Row],[Stock Levels]]</f>
        <v>11.4</v>
      </c>
      <c r="D101">
        <v>68.517832699276596</v>
      </c>
      <c r="E101">
        <v>17</v>
      </c>
      <c r="F101">
        <v>627</v>
      </c>
      <c r="G101" s="10">
        <v>9185.1858291817007</v>
      </c>
      <c r="H101" t="s">
        <v>17</v>
      </c>
      <c r="I101">
        <v>55</v>
      </c>
      <c r="J101">
        <v>8</v>
      </c>
      <c r="K101">
        <v>59</v>
      </c>
      <c r="L101">
        <v>6</v>
      </c>
      <c r="M101" t="s">
        <v>7</v>
      </c>
      <c r="N101">
        <v>1.3110237561206199</v>
      </c>
      <c r="O101" t="s">
        <v>39</v>
      </c>
      <c r="P101" t="s">
        <v>40</v>
      </c>
      <c r="Q101">
        <v>29</v>
      </c>
      <c r="R101">
        <v>921</v>
      </c>
      <c r="S101">
        <v>2</v>
      </c>
      <c r="T101">
        <v>38.072898520625998</v>
      </c>
      <c r="U101" t="s">
        <v>25</v>
      </c>
      <c r="V101">
        <v>0.34602729070550298</v>
      </c>
      <c r="W101" t="s">
        <v>26</v>
      </c>
      <c r="X101" t="s">
        <v>12</v>
      </c>
      <c r="Y101">
        <v>210.743008964246</v>
      </c>
      <c r="Z101" s="11">
        <f>Table1_1[[#This Row],[Shipping Costs]]+Table1_1[[#This Row],[Manufacturing Costs]]+Table1_1[[#This Row],[Costs]]</f>
        <v>250.12693124099263</v>
      </c>
      <c r="AA101" s="11">
        <f>Table1_1[[#This Row],[Revenue Generated]]-Table1_1[[#This Row],[COGS]]</f>
        <v>8935.0588979407075</v>
      </c>
    </row>
    <row r="102" spans="1:27" x14ac:dyDescent="0.3">
      <c r="F102" s="6">
        <f>SUBTOTAL(109,Table1_1[Number Of Products Sold])</f>
        <v>46099</v>
      </c>
      <c r="G102" s="10">
        <f>SUBTOTAL(109,Table1_1[Revenue Generated])</f>
        <v>577604.81873800792</v>
      </c>
      <c r="I102">
        <f>SUBTOTAL(101,Table1_1[Stock Levels])</f>
        <v>47.77</v>
      </c>
      <c r="J102">
        <f>SUBTOTAL(101,Table1_1[Lead Times])</f>
        <v>15.96</v>
      </c>
      <c r="S102">
        <f>SUBTOTAL(101,Table1_1[Manufacturing Lead Time])</f>
        <v>14.77</v>
      </c>
      <c r="Z102" s="11">
        <f>SUBTOTAL(109,Table1_1[COGS])</f>
        <v>58206.062447163007</v>
      </c>
      <c r="AA102" s="11">
        <f>SUBTOTAL(109,Table1_1[Gross Profit])</f>
        <v>519398.75629084528</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B446F-AEAD-4A57-AC91-176F425B1DD8}">
  <dimension ref="A1:B21"/>
  <sheetViews>
    <sheetView workbookViewId="0">
      <selection activeCell="B7" sqref="B7"/>
    </sheetView>
  </sheetViews>
  <sheetFormatPr defaultRowHeight="14.4" x14ac:dyDescent="0.3"/>
  <cols>
    <col min="1" max="1" width="22.33203125" bestFit="1" customWidth="1"/>
    <col min="2" max="2" width="11.44140625" style="4" bestFit="1" customWidth="1"/>
  </cols>
  <sheetData>
    <row r="1" spans="1:2" ht="15.6" x14ac:dyDescent="0.3">
      <c r="A1" s="2" t="s">
        <v>137</v>
      </c>
    </row>
    <row r="2" spans="1:2" x14ac:dyDescent="0.3">
      <c r="A2" s="1" t="s">
        <v>132</v>
      </c>
      <c r="B2" s="4">
        <v>577604.81873800792</v>
      </c>
    </row>
    <row r="3" spans="1:2" x14ac:dyDescent="0.3">
      <c r="A3" s="1" t="s">
        <v>133</v>
      </c>
      <c r="B3" s="4">
        <v>46099</v>
      </c>
    </row>
    <row r="4" spans="1:2" x14ac:dyDescent="0.3">
      <c r="A4" s="1" t="s">
        <v>134</v>
      </c>
      <c r="B4" s="4">
        <v>519398.75629084528</v>
      </c>
    </row>
    <row r="5" spans="1:2" x14ac:dyDescent="0.3">
      <c r="A5" s="1" t="s">
        <v>163</v>
      </c>
      <c r="B5" s="4">
        <v>58206.062447163007</v>
      </c>
    </row>
    <row r="6" spans="1:2" x14ac:dyDescent="0.3">
      <c r="A6" s="1" t="s">
        <v>135</v>
      </c>
    </row>
    <row r="7" spans="1:2" x14ac:dyDescent="0.3">
      <c r="A7" s="1" t="s">
        <v>136</v>
      </c>
      <c r="B7" s="3">
        <v>15.96</v>
      </c>
    </row>
    <row r="8" spans="1:2" x14ac:dyDescent="0.3">
      <c r="A8" s="1" t="s">
        <v>143</v>
      </c>
    </row>
    <row r="9" spans="1:2" x14ac:dyDescent="0.3">
      <c r="A9" s="1" t="s">
        <v>145</v>
      </c>
    </row>
    <row r="10" spans="1:2" x14ac:dyDescent="0.3">
      <c r="A10" s="1" t="s">
        <v>146</v>
      </c>
    </row>
    <row r="11" spans="1:2" x14ac:dyDescent="0.3">
      <c r="A11" s="1" t="s">
        <v>161</v>
      </c>
    </row>
    <row r="12" spans="1:2" x14ac:dyDescent="0.3">
      <c r="A12" s="1"/>
      <c r="B12" s="5"/>
    </row>
    <row r="13" spans="1:2" x14ac:dyDescent="0.3">
      <c r="A13" s="1" t="s">
        <v>162</v>
      </c>
    </row>
    <row r="14" spans="1:2" x14ac:dyDescent="0.3">
      <c r="A14" s="1" t="s">
        <v>139</v>
      </c>
    </row>
    <row r="15" spans="1:2" x14ac:dyDescent="0.3">
      <c r="A15" s="1" t="s">
        <v>0</v>
      </c>
    </row>
    <row r="16" spans="1:2" x14ac:dyDescent="0.3">
      <c r="A16" s="1" t="s">
        <v>156</v>
      </c>
    </row>
    <row r="17" spans="1:1" x14ac:dyDescent="0.3">
      <c r="A17" s="1"/>
    </row>
    <row r="18" spans="1:1" ht="15.6" x14ac:dyDescent="0.3">
      <c r="A18" s="2" t="s">
        <v>138</v>
      </c>
    </row>
    <row r="19" spans="1:1" x14ac:dyDescent="0.3">
      <c r="A19" s="1" t="s">
        <v>142</v>
      </c>
    </row>
    <row r="20" spans="1:1" x14ac:dyDescent="0.3">
      <c r="A20" s="1" t="s">
        <v>3</v>
      </c>
    </row>
    <row r="21" spans="1:1" x14ac:dyDescent="0.3">
      <c r="A21"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90FFB-45D0-48E5-A24D-93D80FE678E2}">
  <dimension ref="A3:B43"/>
  <sheetViews>
    <sheetView zoomScale="98" zoomScaleNormal="280" workbookViewId="0">
      <selection activeCell="E16" sqref="E16"/>
    </sheetView>
  </sheetViews>
  <sheetFormatPr defaultRowHeight="14.4" x14ac:dyDescent="0.3"/>
  <cols>
    <col min="1" max="1" width="12.6640625" bestFit="1" customWidth="1"/>
    <col min="2" max="2" width="25.33203125" style="4" bestFit="1" customWidth="1"/>
    <col min="3" max="3" width="24" bestFit="1" customWidth="1"/>
    <col min="4" max="4" width="8.33203125" bestFit="1" customWidth="1"/>
    <col min="5" max="5" width="10.5546875" bestFit="1" customWidth="1"/>
  </cols>
  <sheetData>
    <row r="3" spans="1:2" x14ac:dyDescent="0.3">
      <c r="A3" s="8" t="s">
        <v>166</v>
      </c>
      <c r="B3" s="6" t="s">
        <v>170</v>
      </c>
    </row>
    <row r="4" spans="1:2" x14ac:dyDescent="0.3">
      <c r="A4" s="9" t="s">
        <v>159</v>
      </c>
      <c r="B4" s="6">
        <v>217242.73026034274</v>
      </c>
    </row>
    <row r="5" spans="1:2" x14ac:dyDescent="0.3">
      <c r="A5" s="9" t="s">
        <v>157</v>
      </c>
      <c r="B5" s="6">
        <v>155278.09222967768</v>
      </c>
    </row>
    <row r="6" spans="1:2" x14ac:dyDescent="0.3">
      <c r="A6" s="9" t="s">
        <v>160</v>
      </c>
      <c r="B6" s="6">
        <v>146877.93380082477</v>
      </c>
    </row>
    <row r="7" spans="1:2" x14ac:dyDescent="0.3">
      <c r="A7" s="9" t="s">
        <v>167</v>
      </c>
      <c r="B7" s="6">
        <v>519398.75629084528</v>
      </c>
    </row>
    <row r="10" spans="1:2" x14ac:dyDescent="0.3">
      <c r="A10" s="8" t="s">
        <v>166</v>
      </c>
      <c r="B10" s="6" t="s">
        <v>169</v>
      </c>
    </row>
    <row r="11" spans="1:2" x14ac:dyDescent="0.3">
      <c r="A11" s="9" t="s">
        <v>159</v>
      </c>
      <c r="B11" s="6">
        <v>20731</v>
      </c>
    </row>
    <row r="12" spans="1:2" x14ac:dyDescent="0.3">
      <c r="A12" s="9" t="s">
        <v>157</v>
      </c>
      <c r="B12" s="6">
        <v>13611</v>
      </c>
    </row>
    <row r="13" spans="1:2" x14ac:dyDescent="0.3">
      <c r="A13" s="9" t="s">
        <v>160</v>
      </c>
      <c r="B13" s="6">
        <v>11757</v>
      </c>
    </row>
    <row r="14" spans="1:2" x14ac:dyDescent="0.3">
      <c r="A14" s="9" t="s">
        <v>167</v>
      </c>
      <c r="B14" s="6">
        <v>46099</v>
      </c>
    </row>
    <row r="17" spans="1:2" x14ac:dyDescent="0.3">
      <c r="A17" s="8" t="s">
        <v>166</v>
      </c>
      <c r="B17" s="6" t="s">
        <v>168</v>
      </c>
    </row>
    <row r="18" spans="1:2" x14ac:dyDescent="0.3">
      <c r="A18" s="9" t="s">
        <v>50</v>
      </c>
      <c r="B18" s="6">
        <v>9364.6735050761708</v>
      </c>
    </row>
    <row r="19" spans="1:2" x14ac:dyDescent="0.3">
      <c r="A19" s="9" t="s">
        <v>84</v>
      </c>
      <c r="B19" s="6">
        <v>9435.7626089121295</v>
      </c>
    </row>
    <row r="20" spans="1:2" x14ac:dyDescent="0.3">
      <c r="A20" s="9" t="s">
        <v>120</v>
      </c>
      <c r="B20" s="6">
        <v>9444.7420330629793</v>
      </c>
    </row>
    <row r="21" spans="1:2" x14ac:dyDescent="0.3">
      <c r="A21" s="9" t="s">
        <v>99</v>
      </c>
      <c r="B21" s="6">
        <v>9473.7980325083299</v>
      </c>
    </row>
    <row r="22" spans="1:2" x14ac:dyDescent="0.3">
      <c r="A22" s="9" t="s">
        <v>64</v>
      </c>
      <c r="B22" s="6">
        <v>9571.5504873278096</v>
      </c>
    </row>
    <row r="23" spans="1:2" x14ac:dyDescent="0.3">
      <c r="A23" s="9" t="s">
        <v>16</v>
      </c>
      <c r="B23" s="6">
        <v>9577.7496258687297</v>
      </c>
    </row>
    <row r="24" spans="1:2" x14ac:dyDescent="0.3">
      <c r="A24" s="9" t="s">
        <v>122</v>
      </c>
      <c r="B24" s="6">
        <v>9592.6335702803099</v>
      </c>
    </row>
    <row r="25" spans="1:2" x14ac:dyDescent="0.3">
      <c r="A25" s="9" t="s">
        <v>63</v>
      </c>
      <c r="B25" s="6">
        <v>9655.1351027193905</v>
      </c>
    </row>
    <row r="26" spans="1:2" x14ac:dyDescent="0.3">
      <c r="A26" s="9" t="s">
        <v>70</v>
      </c>
      <c r="B26" s="6">
        <v>9692.3180402184298</v>
      </c>
    </row>
    <row r="27" spans="1:2" x14ac:dyDescent="0.3">
      <c r="A27" s="9" t="s">
        <v>83</v>
      </c>
      <c r="B27" s="6">
        <v>9866.4654579796897</v>
      </c>
    </row>
    <row r="28" spans="1:2" x14ac:dyDescent="0.3">
      <c r="A28" s="9" t="s">
        <v>167</v>
      </c>
      <c r="B28" s="6">
        <v>95674.828463953978</v>
      </c>
    </row>
    <row r="31" spans="1:2" x14ac:dyDescent="0.3">
      <c r="A31" s="8" t="s">
        <v>166</v>
      </c>
      <c r="B31" s="6" t="s">
        <v>171</v>
      </c>
    </row>
    <row r="32" spans="1:2" x14ac:dyDescent="0.3">
      <c r="A32" s="9" t="s">
        <v>26</v>
      </c>
      <c r="B32" s="6">
        <v>184</v>
      </c>
    </row>
    <row r="33" spans="1:2" x14ac:dyDescent="0.3">
      <c r="A33" s="9" t="s">
        <v>11</v>
      </c>
      <c r="B33" s="6">
        <v>137</v>
      </c>
    </row>
    <row r="34" spans="1:2" x14ac:dyDescent="0.3">
      <c r="A34" s="9" t="s">
        <v>19</v>
      </c>
      <c r="B34" s="6">
        <v>133</v>
      </c>
    </row>
    <row r="35" spans="1:2" x14ac:dyDescent="0.3">
      <c r="A35" s="9" t="s">
        <v>35</v>
      </c>
      <c r="B35" s="6">
        <v>121</v>
      </c>
    </row>
    <row r="36" spans="1:2" x14ac:dyDescent="0.3">
      <c r="A36" s="9" t="s">
        <v>167</v>
      </c>
      <c r="B36" s="6">
        <v>575</v>
      </c>
    </row>
    <row r="39" spans="1:2" x14ac:dyDescent="0.3">
      <c r="A39" s="8" t="s">
        <v>166</v>
      </c>
      <c r="B39" s="6" t="s">
        <v>172</v>
      </c>
    </row>
    <row r="40" spans="1:2" x14ac:dyDescent="0.3">
      <c r="A40" s="9" t="s">
        <v>159</v>
      </c>
      <c r="B40" s="6">
        <v>40</v>
      </c>
    </row>
    <row r="41" spans="1:2" x14ac:dyDescent="0.3">
      <c r="A41" s="9" t="s">
        <v>157</v>
      </c>
      <c r="B41" s="6">
        <v>34</v>
      </c>
    </row>
    <row r="42" spans="1:2" x14ac:dyDescent="0.3">
      <c r="A42" s="9" t="s">
        <v>160</v>
      </c>
      <c r="B42" s="6">
        <v>26</v>
      </c>
    </row>
    <row r="43" spans="1:2" x14ac:dyDescent="0.3">
      <c r="A43" s="9" t="s">
        <v>167</v>
      </c>
      <c r="B43" s="6">
        <v>100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F2E0-12E1-4524-A1F0-C74E011CCBCD}">
  <dimension ref="A1"/>
  <sheetViews>
    <sheetView showGridLines="0" tabSelected="1" zoomScale="71" zoomScaleNormal="78" workbookViewId="0">
      <selection activeCell="V24" sqref="V24"/>
    </sheetView>
  </sheetViews>
  <sheetFormatPr defaultRowHeight="14.4" x14ac:dyDescent="0.3"/>
  <sheetData/>
  <pageMargins left="0.25" right="0.25"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4F3158-9908-43AF-B8AA-F1CAE724A3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Complete Table</vt:lpstr>
      <vt:lpstr>Table</vt:lpstr>
      <vt:lpstr>Ideas</vt:lpstr>
      <vt:lpstr>PT.PC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 Dede</dc:creator>
  <cp:lastModifiedBy>Jackson Dede</cp:lastModifiedBy>
  <dcterms:created xsi:type="dcterms:W3CDTF">2026-02-25T05:48:38Z</dcterms:created>
  <dcterms:modified xsi:type="dcterms:W3CDTF">2026-02-27T04:33:02Z</dcterms:modified>
</cp:coreProperties>
</file>